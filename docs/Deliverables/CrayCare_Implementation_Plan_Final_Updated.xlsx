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mplementation Plan" sheetId="1" state="visible" r:id="rId1"/>
    <sheet xmlns:r="http://schemas.openxmlformats.org/officeDocument/2006/relationships" name="Milestones &amp; Status" sheetId="2" state="visible" r:id="rId2"/>
    <sheet xmlns:r="http://schemas.openxmlformats.org/officeDocument/2006/relationships" name="Lists" sheetId="3" state="visible" r:id="rId3"/>
  </sheets>
  <definedNames/>
</workbook>
</file>

<file path=xl/styles.xml><?xml version="1.0" encoding="utf-8"?>
<styleSheet xmlns="http://schemas.openxmlformats.org/spreadsheetml/2006/main">
  <numFmts count="5">
    <numFmt numFmtId="164" formatCode="mmm\ d\,\ yyyy"/>
    <numFmt numFmtId="165" formatCode=";;;"/>
    <numFmt numFmtId="166" formatCode="mmm d, yyyy"/>
    <numFmt numFmtId="167" formatCode="_ * #,##0.00_ ;_ * \-#,##0.00_ ;_ * &quot;-&quot;??_ ;_ @_ "/>
    <numFmt numFmtId="168" formatCode="_ * #,##0_ ;_ * \-#,##0_ ;_ * &quot;-&quot;_ ;_ @_ "/>
  </numFmts>
  <fonts count="28">
    <font>
      <name val="Carlito"/>
      <sz val="11"/>
    </font>
    <font>
      <name val="Arial"/>
      <b val="1"/>
      <color rgb="FF16343D"/>
      <sz val="10"/>
    </font>
    <font>
      <name val="Arial"/>
      <color rgb="FF16343D"/>
      <sz val="10"/>
    </font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63A44"/>
      <sz val="10"/>
    </font>
    <font>
      <name val="Arial"/>
      <color rgb="FF163A44"/>
      <sz val="10"/>
    </font>
    <font>
      <name val="Arial"/>
      <color rgb="FFFFFFFF"/>
      <sz val="9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</fonts>
  <fills count="42">
    <fill>
      <patternFill/>
    </fill>
    <fill>
      <patternFill patternType="gray125"/>
    </fill>
    <fill>
      <patternFill patternType="solid">
        <fgColor rgb="FF073B4C"/>
      </patternFill>
    </fill>
    <fill>
      <patternFill patternType="solid">
        <fgColor rgb="FF0E9F9A"/>
      </patternFill>
    </fill>
    <fill>
      <patternFill patternType="solid">
        <fgColor rgb="FF159F9B"/>
      </patternFill>
    </fill>
    <fill>
      <patternFill patternType="solid">
        <fgColor rgb="FFE7F5F4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073B4C"/>
      </patternFill>
    </fill>
    <fill>
      <patternFill patternType="solid">
        <fgColor rgb="FF159F9B"/>
      </patternFill>
    </fill>
    <fill>
      <patternFill patternType="solid">
        <fgColor rgb="FFE7F5F4"/>
      </patternFill>
    </fill>
    <fill>
      <patternFill patternType="solid">
        <fgColor rgb="FFFFFFFF"/>
      </patternFill>
    </fill>
  </fills>
  <borders count="21">
    <border/>
    <border>
      <bottom style="thin">
        <color rgb="FFD8E5E4"/>
      </bottom>
    </border>
    <border>
      <top style="thin">
        <color rgb="FFD8E5E4"/>
      </top>
      <bottom style="thin">
        <color rgb="FFD8E5E4"/>
      </bottom>
    </border>
    <border>
      <top style="thin">
        <color rgb="FFD8E5E4"/>
      </top>
      <bottom style="thin">
        <color rgb="FFB7D8D5"/>
      </bottom>
    </border>
    <border>
      <left style="thin">
        <color rgb="FFD5E5E5"/>
      </left>
      <right style="thin">
        <color rgb="FFD5E5E5"/>
      </right>
      <top style="thin">
        <color rgb="FFD5E5E5"/>
      </top>
      <bottom style="thin">
        <color rgb="FFD5E5E5"/>
      </bottom>
    </border>
    <border>
      <left style="thin">
        <color rgb="FFDCE8E8"/>
      </left>
      <right style="thin">
        <color rgb="FFDCE8E8"/>
      </right>
      <top style="thin">
        <color rgb="FFDCE8E8"/>
      </top>
      <bottom style="thin">
        <color rgb="FFDCE8E8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D5E5E5"/>
      </left>
    </border>
    <border>
      <left style="thin">
        <color rgb="FFD5E5E5"/>
      </left>
      <right style="thin">
        <color rgb="FFD5E5E5"/>
      </right>
    </border>
    <border>
      <left style="thin">
        <color rgb="FFD5E5E5"/>
      </left>
      <right style="thin">
        <color rgb="FFD5E5E5"/>
      </right>
      <bottom style="thin">
        <color rgb="FFD5E5E5"/>
      </bottom>
    </border>
    <border>
      <top style="thin">
        <color rgb="FFD5E5E5"/>
      </top>
    </border>
    <border>
      <right style="thin">
        <color rgb="FFD5E5E5"/>
      </right>
      <top style="thin">
        <color rgb="FFD5E5E5"/>
      </top>
    </border>
    <border>
      <top style="thin">
        <color rgb="FFD5E5E5"/>
      </top>
      <bottom style="thin">
        <color rgb="FFD5E5E5"/>
      </bottom>
    </border>
    <border>
      <right style="thin">
        <color rgb="FFD5E5E5"/>
      </right>
      <top style="thin">
        <color rgb="FFD5E5E5"/>
      </top>
      <bottom style="thin">
        <color rgb="FFD5E5E5"/>
      </bottom>
    </border>
  </borders>
  <cellStyleXfs count="49">
    <xf numFmtId="0" fontId="0" fillId="0" borderId="0"/>
    <xf numFmtId="167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168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7" borderId="6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7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7" fillId="0" borderId="0" applyAlignment="1">
      <alignment vertical="center"/>
    </xf>
    <xf numFmtId="0" fontId="18" fillId="8" borderId="9" applyAlignment="1">
      <alignment vertical="center"/>
    </xf>
    <xf numFmtId="0" fontId="19" fillId="9" borderId="10" applyAlignment="1">
      <alignment vertical="center"/>
    </xf>
    <xf numFmtId="0" fontId="20" fillId="9" borderId="9" applyAlignment="1">
      <alignment vertical="center"/>
    </xf>
    <xf numFmtId="0" fontId="21" fillId="10" borderId="11" applyAlignment="1">
      <alignment vertical="center"/>
    </xf>
    <xf numFmtId="0" fontId="22" fillId="0" borderId="12" applyAlignment="1">
      <alignment vertical="center"/>
    </xf>
    <xf numFmtId="0" fontId="23" fillId="0" borderId="13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9" fillId="15" borderId="0" applyAlignment="1">
      <alignment vertical="center"/>
    </xf>
    <xf numFmtId="0" fontId="9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9" fillId="19" borderId="0" applyAlignment="1">
      <alignment vertical="center"/>
    </xf>
    <xf numFmtId="0" fontId="9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9" fillId="23" borderId="0" applyAlignment="1">
      <alignment vertical="center"/>
    </xf>
    <xf numFmtId="0" fontId="9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9" fillId="31" borderId="0" applyAlignment="1">
      <alignment vertical="center"/>
    </xf>
    <xf numFmtId="0" fontId="9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27" fillId="37" borderId="0" applyAlignment="1">
      <alignment vertical="center"/>
    </xf>
  </cellStyleXfs>
  <cellXfs count="5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164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2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center" vertical="center"/>
    </xf>
    <xf numFmtId="1" fontId="7" fillId="5" borderId="4" applyAlignment="1" pivotButton="0" quotePrefix="0" xfId="0">
      <alignment horizontal="center" vertical="center"/>
    </xf>
    <xf numFmtId="165" fontId="8" fillId="6" borderId="5" applyAlignment="1" pivotButton="0" quotePrefix="0" xfId="0">
      <alignment horizontal="center" vertical="center"/>
    </xf>
    <xf numFmtId="0" fontId="0" fillId="38" borderId="0" pivotButton="0" quotePrefix="0" xfId="0"/>
    <xf numFmtId="0" fontId="4" fillId="38" borderId="0" pivotButton="0" quotePrefix="0" xfId="0"/>
    <xf numFmtId="0" fontId="4" fillId="38" borderId="4" pivotButton="0" quotePrefix="0" xfId="0"/>
    <xf numFmtId="0" fontId="4" fillId="38" borderId="4" applyAlignment="1" pivotButton="0" quotePrefix="0" xfId="0">
      <alignment horizontal="center"/>
    </xf>
    <xf numFmtId="0" fontId="4" fillId="38" borderId="4" applyAlignment="1" pivotButton="0" quotePrefix="0" xfId="0">
      <alignment horizontal="center" vertical="center"/>
    </xf>
    <xf numFmtId="0" fontId="0" fillId="39" borderId="0" pivotButton="0" quotePrefix="0" xfId="0"/>
    <xf numFmtId="0" fontId="5" fillId="39" borderId="0" pivotButton="0" quotePrefix="0" xfId="0"/>
    <xf numFmtId="0" fontId="5" fillId="39" borderId="4" pivotButton="0" quotePrefix="0" xfId="0"/>
    <xf numFmtId="0" fontId="5" fillId="39" borderId="4" applyAlignment="1" pivotButton="0" quotePrefix="0" xfId="0">
      <alignment horizontal="center"/>
    </xf>
    <xf numFmtId="0" fontId="5" fillId="39" borderId="4" applyAlignment="1" pivotButton="0" quotePrefix="0" xfId="0">
      <alignment horizontal="center" vertical="center"/>
    </xf>
    <xf numFmtId="0" fontId="0" fillId="40" borderId="0" pivotButton="0" quotePrefix="0" xfId="0"/>
    <xf numFmtId="0" fontId="7" fillId="40" borderId="0" pivotButton="0" quotePrefix="0" xfId="0"/>
    <xf numFmtId="0" fontId="7" fillId="40" borderId="4" pivotButton="0" quotePrefix="0" xfId="0"/>
    <xf numFmtId="0" fontId="7" fillId="40" borderId="4" applyAlignment="1" pivotButton="0" quotePrefix="0" xfId="0">
      <alignment vertical="center"/>
    </xf>
    <xf numFmtId="0" fontId="6" fillId="40" borderId="4" applyAlignment="1" pivotButton="0" quotePrefix="0" xfId="0">
      <alignment vertical="center"/>
    </xf>
    <xf numFmtId="0" fontId="6" fillId="40" borderId="4" applyAlignment="1" pivotButton="0" quotePrefix="0" xfId="0">
      <alignment vertical="center" wrapText="1"/>
    </xf>
    <xf numFmtId="0" fontId="6" fillId="40" borderId="4" applyAlignment="1" pivotButton="0" quotePrefix="0" xfId="0">
      <alignment horizontal="left" vertical="center" wrapText="1"/>
    </xf>
    <xf numFmtId="0" fontId="7" fillId="40" borderId="4" applyAlignment="1" pivotButton="0" quotePrefix="0" xfId="0">
      <alignment horizontal="center" vertical="center"/>
    </xf>
    <xf numFmtId="166" fontId="7" fillId="40" borderId="4" applyAlignment="1" pivotButton="0" quotePrefix="0" xfId="0">
      <alignment horizontal="center" vertical="center"/>
    </xf>
    <xf numFmtId="1" fontId="7" fillId="40" borderId="4" applyAlignment="1" pivotButton="0" quotePrefix="0" xfId="0">
      <alignment horizontal="center" vertical="center"/>
    </xf>
    <xf numFmtId="0" fontId="0" fillId="41" borderId="0" pivotButton="0" quotePrefix="0" xfId="0"/>
    <xf numFmtId="0" fontId="8" fillId="41" borderId="0" pivotButton="0" quotePrefix="0" xfId="0"/>
    <xf numFmtId="0" fontId="8" fillId="41" borderId="5" pivotButton="0" quotePrefix="0" xfId="0"/>
    <xf numFmtId="165" fontId="8" fillId="41" borderId="5" pivotButton="0" quotePrefix="0" xfId="0"/>
    <xf numFmtId="165" fontId="8" fillId="41" borderId="5" applyAlignment="1" pivotButton="0" quotePrefix="0" xfId="0">
      <alignment horizontal="center"/>
    </xf>
    <xf numFmtId="165" fontId="8" fillId="41" borderId="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166" fontId="7" fillId="40" borderId="4" applyAlignment="1" pivotButton="0" quotePrefix="0" xfId="0">
      <alignment horizontal="center" vertical="center"/>
    </xf>
    <xf numFmtId="1" fontId="7" fillId="40" borderId="4" applyAlignment="1" pivotButton="0" quotePrefix="0" xfId="0">
      <alignment horizontal="center" vertical="center"/>
    </xf>
    <xf numFmtId="165" fontId="8" fillId="41" borderId="5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 wrapText="1"/>
    </xf>
    <xf numFmtId="164" fontId="2" fillId="0" borderId="2" applyAlignment="1" pivotButton="0" quotePrefix="0" xfId="0">
      <alignment vertical="center" wrapText="1"/>
    </xf>
    <xf numFmtId="164" fontId="2" fillId="0" borderId="3" applyAlignment="1" pivotButton="0" quotePrefix="0" xfId="0">
      <alignment vertical="center" wrapText="1"/>
    </xf>
  </cellXfs>
  <cellStyles count="49">
    <cellStyle name="Normal" xfId="0"/>
    <cellStyle name="Comma" xfId="1"/>
    <cellStyle name="Currency" xfId="2"/>
    <cellStyle name="Percent" xfId="3"/>
    <cellStyle name="Comma [0]" xfId="4"/>
    <cellStyle name="Currency [0]" xfId="5"/>
    <cellStyle name="Link" xfId="6"/>
    <cellStyle name="Followed Hyperlink" xfId="7"/>
    <cellStyle name="Note" xfId="8"/>
    <cellStyle name="Warning Text" xfId="9"/>
    <cellStyle name="Title" xfId="10"/>
    <cellStyle name="Explanatory Text" xfId="11"/>
    <cellStyle name="Heading 1" xfId="12"/>
    <cellStyle name="Heading 2" xfId="13"/>
    <cellStyle name="Heading 3" xfId="14"/>
    <cellStyle name="Heading 4" xfId="15"/>
    <cellStyle name="Input" xfId="16"/>
    <cellStyle name="Output" xfId="17"/>
    <cellStyle name="Calculation" xfId="18"/>
    <cellStyle name="Check Cell" xfId="19"/>
    <cellStyle name="Linked Cell" xfId="20"/>
    <cellStyle name="Total" xfId="21"/>
    <cellStyle name="Good" xfId="22"/>
    <cellStyle name="Bad" xfId="23"/>
    <cellStyle name="Neutral" xfId="24"/>
    <cellStyle name="Accent1" xfId="25"/>
    <cellStyle name="20% - Accent1" xfId="26"/>
    <cellStyle name="40% - Accent1" xfId="27"/>
    <cellStyle name="60% - Accent1" xfId="28"/>
    <cellStyle name="Accent2" xfId="29"/>
    <cellStyle name="20% - Accent2" xfId="30"/>
    <cellStyle name="40% - Accent2" xfId="31"/>
    <cellStyle name="60% - Accent2" xfId="32"/>
    <cellStyle name="Accent3" xfId="33"/>
    <cellStyle name="20% - Accent3" xfId="34"/>
    <cellStyle name="40% - Accent3" xfId="35"/>
    <cellStyle name="60% - Accent3" xfId="36"/>
    <cellStyle name="Accent4" xfId="37"/>
    <cellStyle name="20% - Accent4" xfId="38"/>
    <cellStyle name="40% - Accent4" xfId="39"/>
    <cellStyle name="60% - Accent4" xfId="40"/>
    <cellStyle name="Accent5" xfId="41"/>
    <cellStyle name="20% - Accent5" xfId="42"/>
    <cellStyle name="40% - Accent5" xfId="43"/>
    <cellStyle name="60% - Accent5" xfId="44"/>
    <cellStyle name="Accent6" xfId="45"/>
    <cellStyle name="20% - Accent6" xfId="46"/>
    <cellStyle name="40% - Accent6" xfId="47"/>
    <cellStyle name="60% - Accent6" xfId="48"/>
  </cellStyles>
  <dxfs count="37">
    <dxf>
      <font>
        <color rgb="FF107C41"/>
      </font>
      <fill>
        <patternFill>
          <bgColor rgb="FFE2F0D9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5E6A7D"/>
      </font>
      <fill>
        <patternFill>
          <bgColor rgb="FFE7EAF0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107C41"/>
      </font>
      <fill>
        <patternFill>
          <bgColor rgb="FFE2F0D9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5E6A7D"/>
      </font>
      <fill>
        <patternFill>
          <bgColor rgb="FFE7EAF0"/>
        </patternFill>
      </fill>
    </dxf>
    <dxf>
      <font>
        <color rgb="FFC00000"/>
      </font>
      <fill>
        <patternFill>
          <bgColor rgb="FFFCE4D6"/>
        </patternFill>
      </fill>
    </dxf>
    <dxf>
      <font>
        <b val="1"/>
        <color rgb="FF16794A"/>
      </font>
      <fill>
        <patternFill>
          <bgColor rgb="FFDDF4E7"/>
        </patternFill>
      </fill>
    </dxf>
    <dxf>
      <font>
        <b val="1"/>
        <color rgb="FF8A5B00"/>
      </font>
      <fill>
        <patternFill>
          <bgColor rgb="FFFFF0C2"/>
        </patternFill>
      </fill>
    </dxf>
    <dxf>
      <font>
        <color rgb="FF667085"/>
      </font>
      <fill>
        <patternFill>
          <bgColor rgb="FFECEFF2"/>
        </patternFill>
      </fill>
    </dxf>
    <dxf>
      <font>
        <b val="1"/>
        <color rgb="FF1D4ED8"/>
      </font>
      <fill>
        <patternFill>
          <bgColor rgb="FFDBEAFE"/>
        </patternFill>
      </fill>
    </dxf>
    <dxf>
      <font>
        <color rgb="FF70C49A"/>
      </font>
      <fill>
        <patternFill>
          <bgColor rgb="FF70C49A"/>
        </patternFill>
      </fill>
    </dxf>
    <dxf>
      <font>
        <color rgb="FF70C49A"/>
      </font>
      <fill>
        <patternFill>
          <bgColor rgb="FF70C49A"/>
        </patternFill>
      </fill>
    </dxf>
    <dxf>
      <fill>
        <patternFill>
          <bgColor rgb="FF73C69B"/>
        </patternFill>
      </fill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rgb="FF70C49A"/>
      </font>
      <fill>
        <patternFill patternType="solid">
          <bgColor rgb="FF70C49A"/>
        </patternFill>
      </fill>
    </dxf>
    <dxf>
      <font>
        <color rgb="FF107C41"/>
      </font>
      <fill>
        <patternFill patternType="solid">
          <bgColor rgb="FFE2F0D9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5E6A7D"/>
      </font>
      <fill>
        <patternFill patternType="solid">
          <bgColor rgb="FFE7EAF0"/>
        </patternFill>
      </fill>
    </dxf>
    <dxf>
      <font>
        <color rgb="FFC00000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73B4C"/>
    <outlinePr summaryBelow="1" summaryRight="1"/>
    <pageSetUpPr/>
  </sheetPr>
  <dimension ref="A1:BB90"/>
  <sheetViews>
    <sheetView showGridLines="0" workbookViewId="0">
      <selection activeCell="A1" sqref="A1"/>
    </sheetView>
  </sheetViews>
  <sheetFormatPr baseColWidth="8" defaultColWidth="9" defaultRowHeight="14.25"/>
  <cols>
    <col width="46" customWidth="1" min="1" max="1"/>
    <col width="14" customWidth="1" min="2" max="2"/>
    <col width="13" customWidth="1" min="3" max="3"/>
    <col width="13" customWidth="1" min="4" max="4"/>
    <col width="12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.5" customWidth="1" min="54" max="54"/>
  </cols>
  <sheetData>
    <row r="1" ht="32.09999847412109" customHeight="1">
      <c r="A1" s="3" t="inlineStr">
        <is>
          <t>CRAYCARE CAPSTONE IMPLEMENTATION PLAN</t>
        </is>
      </c>
    </row>
    <row r="3" ht="15" customHeight="1">
      <c r="A3" s="22" t="inlineStr">
        <is>
          <t>Activity</t>
        </is>
      </c>
      <c r="B3" s="22" t="inlineStr">
        <is>
          <t>Status</t>
        </is>
      </c>
      <c r="C3" s="22" t="inlineStr">
        <is>
          <t>Start Date</t>
        </is>
      </c>
      <c r="D3" s="22" t="inlineStr">
        <is>
          <t>End Date</t>
        </is>
      </c>
      <c r="E3" s="22" t="inlineStr">
        <is>
          <t>Duration (Days)</t>
        </is>
      </c>
      <c r="F3" s="27" t="inlineStr">
        <is>
          <t>January</t>
        </is>
      </c>
      <c r="G3" s="44" t="n"/>
      <c r="H3" s="44" t="n"/>
      <c r="I3" s="45" t="n"/>
      <c r="J3" s="27" t="inlineStr">
        <is>
          <t>February</t>
        </is>
      </c>
      <c r="K3" s="44" t="n"/>
      <c r="L3" s="44" t="n"/>
      <c r="M3" s="45" t="n"/>
      <c r="N3" s="27" t="inlineStr">
        <is>
          <t>March</t>
        </is>
      </c>
      <c r="O3" s="44" t="n"/>
      <c r="P3" s="44" t="n"/>
      <c r="Q3" s="45" t="n"/>
      <c r="R3" s="27" t="inlineStr">
        <is>
          <t>April</t>
        </is>
      </c>
      <c r="S3" s="44" t="n"/>
      <c r="T3" s="44" t="n"/>
      <c r="U3" s="45" t="n"/>
      <c r="V3" s="27" t="inlineStr">
        <is>
          <t>May</t>
        </is>
      </c>
      <c r="W3" s="44" t="n"/>
      <c r="X3" s="44" t="n"/>
      <c r="Y3" s="45" t="n"/>
      <c r="Z3" s="27" t="inlineStr">
        <is>
          <t>June</t>
        </is>
      </c>
      <c r="AA3" s="44" t="n"/>
      <c r="AB3" s="44" t="n"/>
      <c r="AC3" s="45" t="n"/>
      <c r="AD3" s="27" t="inlineStr">
        <is>
          <t>July</t>
        </is>
      </c>
      <c r="AE3" s="44" t="n"/>
      <c r="AF3" s="44" t="n"/>
      <c r="AG3" s="45" t="n"/>
      <c r="AH3" s="27" t="inlineStr">
        <is>
          <t>August</t>
        </is>
      </c>
      <c r="AI3" s="44" t="n"/>
      <c r="AJ3" s="44" t="n"/>
      <c r="AK3" s="45" t="n"/>
      <c r="AL3" s="27" t="inlineStr">
        <is>
          <t>September</t>
        </is>
      </c>
      <c r="AM3" s="44" t="n"/>
      <c r="AN3" s="44" t="n"/>
      <c r="AO3" s="45" t="n"/>
      <c r="AP3" s="27" t="inlineStr">
        <is>
          <t>October</t>
        </is>
      </c>
      <c r="AQ3" s="44" t="n"/>
      <c r="AR3" s="44" t="n"/>
      <c r="AS3" s="45" t="n"/>
      <c r="AT3" s="27" t="inlineStr">
        <is>
          <t>November</t>
        </is>
      </c>
      <c r="AU3" s="44" t="n"/>
      <c r="AV3" s="44" t="n"/>
      <c r="AW3" s="45" t="n"/>
      <c r="AX3" s="27" t="inlineStr">
        <is>
          <t>December</t>
        </is>
      </c>
      <c r="AY3" s="44" t="n"/>
      <c r="AZ3" s="44" t="n"/>
      <c r="BA3" s="45" t="n"/>
    </row>
    <row r="4" ht="15" customHeight="1">
      <c r="A4" s="46" t="n"/>
      <c r="B4" s="46" t="n"/>
      <c r="C4" s="46" t="n"/>
      <c r="D4" s="46" t="n"/>
      <c r="E4" s="46" t="n"/>
      <c r="F4" s="27" t="inlineStr">
        <is>
          <t>W1</t>
        </is>
      </c>
      <c r="G4" s="27" t="inlineStr">
        <is>
          <t>W2</t>
        </is>
      </c>
      <c r="H4" s="27" t="inlineStr">
        <is>
          <t>W3</t>
        </is>
      </c>
      <c r="I4" s="27" t="inlineStr">
        <is>
          <t>W4</t>
        </is>
      </c>
      <c r="J4" s="27" t="inlineStr">
        <is>
          <t>W1</t>
        </is>
      </c>
      <c r="K4" s="27" t="inlineStr">
        <is>
          <t>W2</t>
        </is>
      </c>
      <c r="L4" s="27" t="inlineStr">
        <is>
          <t>W3</t>
        </is>
      </c>
      <c r="M4" s="27" t="inlineStr">
        <is>
          <t>W4</t>
        </is>
      </c>
      <c r="N4" s="27" t="inlineStr">
        <is>
          <t>W1</t>
        </is>
      </c>
      <c r="O4" s="27" t="inlineStr">
        <is>
          <t>W2</t>
        </is>
      </c>
      <c r="P4" s="27" t="inlineStr">
        <is>
          <t>W3</t>
        </is>
      </c>
      <c r="Q4" s="27" t="inlineStr">
        <is>
          <t>W4</t>
        </is>
      </c>
      <c r="R4" s="27" t="inlineStr">
        <is>
          <t>W1</t>
        </is>
      </c>
      <c r="S4" s="27" t="inlineStr">
        <is>
          <t>W2</t>
        </is>
      </c>
      <c r="T4" s="27" t="inlineStr">
        <is>
          <t>W3</t>
        </is>
      </c>
      <c r="U4" s="27" t="inlineStr">
        <is>
          <t>W4</t>
        </is>
      </c>
      <c r="V4" s="27" t="inlineStr">
        <is>
          <t>W1</t>
        </is>
      </c>
      <c r="W4" s="27" t="inlineStr">
        <is>
          <t>W2</t>
        </is>
      </c>
      <c r="X4" s="27" t="inlineStr">
        <is>
          <t>W3</t>
        </is>
      </c>
      <c r="Y4" s="27" t="inlineStr">
        <is>
          <t>W4</t>
        </is>
      </c>
      <c r="Z4" s="27" t="inlineStr">
        <is>
          <t>W1</t>
        </is>
      </c>
      <c r="AA4" s="27" t="inlineStr">
        <is>
          <t>W2</t>
        </is>
      </c>
      <c r="AB4" s="27" t="inlineStr">
        <is>
          <t>W3</t>
        </is>
      </c>
      <c r="AC4" s="27" t="inlineStr">
        <is>
          <t>W4</t>
        </is>
      </c>
      <c r="AD4" s="27" t="inlineStr">
        <is>
          <t>W1</t>
        </is>
      </c>
      <c r="AE4" s="27" t="inlineStr">
        <is>
          <t>W2</t>
        </is>
      </c>
      <c r="AF4" s="27" t="inlineStr">
        <is>
          <t>W3</t>
        </is>
      </c>
      <c r="AG4" s="27" t="inlineStr">
        <is>
          <t>W4</t>
        </is>
      </c>
      <c r="AH4" s="27" t="inlineStr">
        <is>
          <t>W1</t>
        </is>
      </c>
      <c r="AI4" s="27" t="inlineStr">
        <is>
          <t>W2</t>
        </is>
      </c>
      <c r="AJ4" s="27" t="inlineStr">
        <is>
          <t>W3</t>
        </is>
      </c>
      <c r="AK4" s="27" t="inlineStr">
        <is>
          <t>W4</t>
        </is>
      </c>
      <c r="AL4" s="27" t="inlineStr">
        <is>
          <t>W1</t>
        </is>
      </c>
      <c r="AM4" s="27" t="inlineStr">
        <is>
          <t>W2</t>
        </is>
      </c>
      <c r="AN4" s="27" t="inlineStr">
        <is>
          <t>W3</t>
        </is>
      </c>
      <c r="AO4" s="27" t="inlineStr">
        <is>
          <t>W4</t>
        </is>
      </c>
      <c r="AP4" s="27" t="inlineStr">
        <is>
          <t>W1</t>
        </is>
      </c>
      <c r="AQ4" s="27" t="inlineStr">
        <is>
          <t>W2</t>
        </is>
      </c>
      <c r="AR4" s="27" t="inlineStr">
        <is>
          <t>W3</t>
        </is>
      </c>
      <c r="AS4" s="27" t="inlineStr">
        <is>
          <t>W4</t>
        </is>
      </c>
      <c r="AT4" s="27" t="inlineStr">
        <is>
          <t>W1</t>
        </is>
      </c>
      <c r="AU4" s="27" t="inlineStr">
        <is>
          <t>W2</t>
        </is>
      </c>
      <c r="AV4" s="27" t="inlineStr">
        <is>
          <t>W3</t>
        </is>
      </c>
      <c r="AW4" s="27" t="inlineStr">
        <is>
          <t>W4</t>
        </is>
      </c>
      <c r="AX4" s="27" t="inlineStr">
        <is>
          <t>W1</t>
        </is>
      </c>
      <c r="AY4" s="27" t="inlineStr">
        <is>
          <t>W2</t>
        </is>
      </c>
      <c r="AZ4" s="27" t="inlineStr">
        <is>
          <t>W3</t>
        </is>
      </c>
      <c r="BA4" s="27" t="inlineStr">
        <is>
          <t>W4</t>
        </is>
      </c>
    </row>
    <row r="5" ht="32" customHeight="1">
      <c r="A5" s="34" t="inlineStr">
        <is>
          <t>Phase 1: Preliminary Investigation and Requirements Gathering</t>
        </is>
      </c>
      <c r="B5" s="35" t="inlineStr">
        <is>
          <t>Completed</t>
        </is>
      </c>
      <c r="C5" s="47" t="n">
        <v>46118</v>
      </c>
      <c r="D5" s="47" t="n">
        <v>46142</v>
      </c>
      <c r="E5" s="48">
        <f>IF(OR(C5="",D5=""),"",D5-C5+1)</f>
        <v/>
      </c>
      <c r="F5" s="49">
        <f>IF(AND($C5&lt;=DATE(2026,1,7),$D5&gt;=DATE(2026,1,1)),1,"")</f>
        <v/>
      </c>
      <c r="G5" s="49">
        <f>IF(AND($C5&lt;=DATE(2026,1,14),$D5&gt;=DATE(2026,1,8)),1,"")</f>
        <v/>
      </c>
      <c r="H5" s="49">
        <f>IF(AND($C5&lt;=DATE(2026,1,21),$D5&gt;=DATE(2026,1,15)),1,"")</f>
        <v/>
      </c>
      <c r="I5" s="49">
        <f>IF(AND($C5&lt;=DATE(2026,1,31),$D5&gt;=DATE(2026,1,22)),1,"")</f>
        <v/>
      </c>
      <c r="J5" s="49">
        <f>IF(AND($C5&lt;=DATE(2026,2,7),$D5&gt;=DATE(2026,2,1)),1,"")</f>
        <v/>
      </c>
      <c r="K5" s="49">
        <f>IF(AND($C5&lt;=DATE(2026,2,14),$D5&gt;=DATE(2026,2,8)),1,"")</f>
        <v/>
      </c>
      <c r="L5" s="49">
        <f>IF(AND($C5&lt;=DATE(2026,2,21),$D5&gt;=DATE(2026,2,15)),1,"")</f>
        <v/>
      </c>
      <c r="M5" s="49">
        <f>IF(AND($C5&lt;=DATE(2026,2,28),$D5&gt;=DATE(2026,2,22)),1,"")</f>
        <v/>
      </c>
      <c r="N5" s="49">
        <f>IF(AND($C5&lt;=DATE(2026,3,7),$D5&gt;=DATE(2026,3,1)),1,"")</f>
        <v/>
      </c>
      <c r="O5" s="49">
        <f>IF(AND($C5&lt;=DATE(2026,3,14),$D5&gt;=DATE(2026,3,8)),1,"")</f>
        <v/>
      </c>
      <c r="P5" s="49">
        <f>IF(AND($C5&lt;=DATE(2026,3,21),$D5&gt;=DATE(2026,3,15)),1,"")</f>
        <v/>
      </c>
      <c r="Q5" s="49">
        <f>IF(AND($C5&lt;=DATE(2026,3,31),$D5&gt;=DATE(2026,3,22)),1,"")</f>
        <v/>
      </c>
      <c r="R5" s="49">
        <f>IF(AND($C5&lt;=DATE(2026,4,7),$D5&gt;=DATE(2026,4,1)),1,"")</f>
        <v/>
      </c>
      <c r="S5" s="49">
        <f>IF(AND($C5&lt;=DATE(2026,4,14),$D5&gt;=DATE(2026,4,8)),1,"")</f>
        <v/>
      </c>
      <c r="T5" s="49">
        <f>IF(AND($C5&lt;=DATE(2026,4,21),$D5&gt;=DATE(2026,4,15)),1,"")</f>
        <v/>
      </c>
      <c r="U5" s="49">
        <f>IF(AND($C5&lt;=DATE(2026,4,30),$D5&gt;=DATE(2026,4,22)),1,"")</f>
        <v/>
      </c>
      <c r="V5" s="49">
        <f>IF(AND($C5&lt;=DATE(2026,5,7),$D5&gt;=DATE(2026,5,1)),1,"")</f>
        <v/>
      </c>
      <c r="W5" s="49">
        <f>IF(AND($C5&lt;=DATE(2026,5,14),$D5&gt;=DATE(2026,5,8)),1,"")</f>
        <v/>
      </c>
      <c r="X5" s="49">
        <f>IF(AND($C5&lt;=DATE(2026,5,21),$D5&gt;=DATE(2026,5,15)),1,"")</f>
        <v/>
      </c>
      <c r="Y5" s="49">
        <f>IF(AND($C5&lt;=DATE(2026,5,31),$D5&gt;=DATE(2026,5,22)),1,"")</f>
        <v/>
      </c>
      <c r="Z5" s="49">
        <f>IF(AND($C5&lt;=DATE(2026,6,7),$D5&gt;=DATE(2026,6,1)),1,"")</f>
        <v/>
      </c>
      <c r="AA5" s="49">
        <f>IF(AND($C5&lt;=DATE(2026,6,14),$D5&gt;=DATE(2026,6,8)),1,"")</f>
        <v/>
      </c>
      <c r="AB5" s="49">
        <f>IF(AND($C5&lt;=DATE(2026,6,21),$D5&gt;=DATE(2026,6,15)),1,"")</f>
        <v/>
      </c>
      <c r="AC5" s="49">
        <f>IF(AND($C5&lt;=DATE(2026,6,30),$D5&gt;=DATE(2026,6,22)),1,"")</f>
        <v/>
      </c>
      <c r="AD5" s="49">
        <f>IF(AND($C5&lt;=DATE(2026,7,7),$D5&gt;=DATE(2026,7,1)),1,"")</f>
        <v/>
      </c>
      <c r="AE5" s="49">
        <f>IF(AND($C5&lt;=DATE(2026,7,14),$D5&gt;=DATE(2026,7,8)),1,"")</f>
        <v/>
      </c>
      <c r="AF5" s="49">
        <f>IF(AND($C5&lt;=DATE(2026,7,21),$D5&gt;=DATE(2026,7,15)),1,"")</f>
        <v/>
      </c>
      <c r="AG5" s="49">
        <f>IF(AND($C5&lt;=DATE(2026,7,31),$D5&gt;=DATE(2026,7,22)),1,"")</f>
        <v/>
      </c>
      <c r="AH5" s="49">
        <f>IF(AND($C5&lt;=DATE(2026,8,7),$D5&gt;=DATE(2026,8,1)),1,"")</f>
        <v/>
      </c>
      <c r="AI5" s="49">
        <f>IF(AND($C5&lt;=DATE(2026,8,14),$D5&gt;=DATE(2026,8,8)),1,"")</f>
        <v/>
      </c>
      <c r="AJ5" s="49">
        <f>IF(AND($C5&lt;=DATE(2026,8,21),$D5&gt;=DATE(2026,8,15)),1,"")</f>
        <v/>
      </c>
      <c r="AK5" s="49">
        <f>IF(AND($C5&lt;=DATE(2026,8,31),$D5&gt;=DATE(2026,8,22)),1,"")</f>
        <v/>
      </c>
      <c r="AL5" s="49">
        <f>IF(AND($C5&lt;=DATE(2026,9,7),$D5&gt;=DATE(2026,9,1)),1,"")</f>
        <v/>
      </c>
      <c r="AM5" s="49">
        <f>IF(AND($C5&lt;=DATE(2026,9,14),$D5&gt;=DATE(2026,9,8)),1,"")</f>
        <v/>
      </c>
      <c r="AN5" s="49">
        <f>IF(AND($C5&lt;=DATE(2026,9,21),$D5&gt;=DATE(2026,9,15)),1,"")</f>
        <v/>
      </c>
      <c r="AO5" s="49">
        <f>IF(AND($C5&lt;=DATE(2026,9,30),$D5&gt;=DATE(2026,9,22)),1,"")</f>
        <v/>
      </c>
      <c r="AP5" s="49">
        <f>IF(AND($C5&lt;=DATE(2026,10,7),$D5&gt;=DATE(2026,10,1)),1,"")</f>
        <v/>
      </c>
      <c r="AQ5" s="49">
        <f>IF(AND($C5&lt;=DATE(2026,10,14),$D5&gt;=DATE(2026,10,8)),1,"")</f>
        <v/>
      </c>
      <c r="AR5" s="49">
        <f>IF(AND($C5&lt;=DATE(2026,10,21),$D5&gt;=DATE(2026,10,15)),1,"")</f>
        <v/>
      </c>
      <c r="AS5" s="49">
        <f>IF(AND($C5&lt;=DATE(2026,10,31),$D5&gt;=DATE(2026,10,22)),1,"")</f>
        <v/>
      </c>
      <c r="AT5" s="49">
        <f>IF(AND($C5&lt;=DATE(2026,11,7),$D5&gt;=DATE(2026,11,1)),1,"")</f>
        <v/>
      </c>
      <c r="AU5" s="49">
        <f>IF(AND($C5&lt;=DATE(2026,11,14),$D5&gt;=DATE(2026,11,8)),1,"")</f>
        <v/>
      </c>
      <c r="AV5" s="49">
        <f>IF(AND($C5&lt;=DATE(2026,11,21),$D5&gt;=DATE(2026,11,15)),1,"")</f>
        <v/>
      </c>
      <c r="AW5" s="49">
        <f>IF(AND($C5&lt;=DATE(2026,11,30),$D5&gt;=DATE(2026,11,22)),1,"")</f>
        <v/>
      </c>
      <c r="AX5" s="49">
        <f>IF(AND($C5&lt;=DATE(2026,12,7),$D5&gt;=DATE(2026,12,1)),1,"")</f>
        <v/>
      </c>
      <c r="AY5" s="49">
        <f>IF(AND($C5&lt;=DATE(2026,12,14),$D5&gt;=DATE(2026,12,8)),1,"")</f>
        <v/>
      </c>
      <c r="AZ5" s="49">
        <f>IF(AND($C5&lt;=DATE(2026,12,21),$D5&gt;=DATE(2026,12,15)),1,"")</f>
        <v/>
      </c>
      <c r="BA5" s="49">
        <f>IF(AND($C5&lt;=DATE(2026,12,31),$D5&gt;=DATE(2026,12,22)),1,"")</f>
        <v/>
      </c>
    </row>
    <row r="6" ht="32" customHeight="1">
      <c r="A6" s="34" t="inlineStr">
        <is>
          <t>Phase 2: Chapters 1-3 and Prototype Development and Defense</t>
        </is>
      </c>
      <c r="B6" s="35" t="inlineStr">
        <is>
          <t>Completed</t>
        </is>
      </c>
      <c r="C6" s="47" t="n">
        <v>46146</v>
      </c>
      <c r="D6" s="47" t="n">
        <v>46229</v>
      </c>
      <c r="E6" s="48">
        <f>IF(OR(C6="",D6=""),"",D6-C6+1)</f>
        <v/>
      </c>
      <c r="F6" s="49">
        <f>IF(AND($C6&lt;=DATE(2026,1,7),$D6&gt;=DATE(2026,1,1)),1,"")</f>
        <v/>
      </c>
      <c r="G6" s="49">
        <f>IF(AND($C6&lt;=DATE(2026,1,14),$D6&gt;=DATE(2026,1,8)),1,"")</f>
        <v/>
      </c>
      <c r="H6" s="49">
        <f>IF(AND($C6&lt;=DATE(2026,1,21),$D6&gt;=DATE(2026,1,15)),1,"")</f>
        <v/>
      </c>
      <c r="I6" s="49">
        <f>IF(AND($C6&lt;=DATE(2026,1,31),$D6&gt;=DATE(2026,1,22)),1,"")</f>
        <v/>
      </c>
      <c r="J6" s="49">
        <f>IF(AND($C6&lt;=DATE(2026,2,7),$D6&gt;=DATE(2026,2,1)),1,"")</f>
        <v/>
      </c>
      <c r="K6" s="49">
        <f>IF(AND($C6&lt;=DATE(2026,2,14),$D6&gt;=DATE(2026,2,8)),1,"")</f>
        <v/>
      </c>
      <c r="L6" s="49">
        <f>IF(AND($C6&lt;=DATE(2026,2,21),$D6&gt;=DATE(2026,2,15)),1,"")</f>
        <v/>
      </c>
      <c r="M6" s="49">
        <f>IF(AND($C6&lt;=DATE(2026,2,28),$D6&gt;=DATE(2026,2,22)),1,"")</f>
        <v/>
      </c>
      <c r="N6" s="49">
        <f>IF(AND($C6&lt;=DATE(2026,3,7),$D6&gt;=DATE(2026,3,1)),1,"")</f>
        <v/>
      </c>
      <c r="O6" s="49">
        <f>IF(AND($C6&lt;=DATE(2026,3,14),$D6&gt;=DATE(2026,3,8)),1,"")</f>
        <v/>
      </c>
      <c r="P6" s="49">
        <f>IF(AND($C6&lt;=DATE(2026,3,21),$D6&gt;=DATE(2026,3,15)),1,"")</f>
        <v/>
      </c>
      <c r="Q6" s="49">
        <f>IF(AND($C6&lt;=DATE(2026,3,31),$D6&gt;=DATE(2026,3,22)),1,"")</f>
        <v/>
      </c>
      <c r="R6" s="49">
        <f>IF(AND($C6&lt;=DATE(2026,4,7),$D6&gt;=DATE(2026,4,1)),1,"")</f>
        <v/>
      </c>
      <c r="S6" s="49">
        <f>IF(AND($C6&lt;=DATE(2026,4,14),$D6&gt;=DATE(2026,4,8)),1,"")</f>
        <v/>
      </c>
      <c r="T6" s="49">
        <f>IF(AND($C6&lt;=DATE(2026,4,21),$D6&gt;=DATE(2026,4,15)),1,"")</f>
        <v/>
      </c>
      <c r="U6" s="49">
        <f>IF(AND($C6&lt;=DATE(2026,4,30),$D6&gt;=DATE(2026,4,22)),1,"")</f>
        <v/>
      </c>
      <c r="V6" s="49">
        <f>IF(AND($C6&lt;=DATE(2026,5,7),$D6&gt;=DATE(2026,5,1)),1,"")</f>
        <v/>
      </c>
      <c r="W6" s="49">
        <f>IF(AND($C6&lt;=DATE(2026,5,14),$D6&gt;=DATE(2026,5,8)),1,"")</f>
        <v/>
      </c>
      <c r="X6" s="49">
        <f>IF(AND($C6&lt;=DATE(2026,5,21),$D6&gt;=DATE(2026,5,15)),1,"")</f>
        <v/>
      </c>
      <c r="Y6" s="49">
        <f>IF(AND($C6&lt;=DATE(2026,5,31),$D6&gt;=DATE(2026,5,22)),1,"")</f>
        <v/>
      </c>
      <c r="Z6" s="49">
        <f>IF(AND($C6&lt;=DATE(2026,6,7),$D6&gt;=DATE(2026,6,1)),1,"")</f>
        <v/>
      </c>
      <c r="AA6" s="49">
        <f>IF(AND($C6&lt;=DATE(2026,6,14),$D6&gt;=DATE(2026,6,8)),1,"")</f>
        <v/>
      </c>
      <c r="AB6" s="49">
        <f>IF(AND($C6&lt;=DATE(2026,6,21),$D6&gt;=DATE(2026,6,15)),1,"")</f>
        <v/>
      </c>
      <c r="AC6" s="49">
        <f>IF(AND($C6&lt;=DATE(2026,6,30),$D6&gt;=DATE(2026,6,22)),1,"")</f>
        <v/>
      </c>
      <c r="AD6" s="49">
        <f>IF(AND($C6&lt;=DATE(2026,7,7),$D6&gt;=DATE(2026,7,1)),1,"")</f>
        <v/>
      </c>
      <c r="AE6" s="49">
        <f>IF(AND($C6&lt;=DATE(2026,7,14),$D6&gt;=DATE(2026,7,8)),1,"")</f>
        <v/>
      </c>
      <c r="AF6" s="49">
        <f>IF(AND($C6&lt;=DATE(2026,7,21),$D6&gt;=DATE(2026,7,15)),1,"")</f>
        <v/>
      </c>
      <c r="AG6" s="49">
        <f>IF(AND($C6&lt;=DATE(2026,7,31),$D6&gt;=DATE(2026,7,22)),1,"")</f>
        <v/>
      </c>
      <c r="AH6" s="49">
        <f>IF(AND($C6&lt;=DATE(2026,8,7),$D6&gt;=DATE(2026,8,1)),1,"")</f>
        <v/>
      </c>
      <c r="AI6" s="49">
        <f>IF(AND($C6&lt;=DATE(2026,8,14),$D6&gt;=DATE(2026,8,8)),1,"")</f>
        <v/>
      </c>
      <c r="AJ6" s="49">
        <f>IF(AND($C6&lt;=DATE(2026,8,21),$D6&gt;=DATE(2026,8,15)),1,"")</f>
        <v/>
      </c>
      <c r="AK6" s="49">
        <f>IF(AND($C6&lt;=DATE(2026,8,31),$D6&gt;=DATE(2026,8,22)),1,"")</f>
        <v/>
      </c>
      <c r="AL6" s="49">
        <f>IF(AND($C6&lt;=DATE(2026,9,7),$D6&gt;=DATE(2026,9,1)),1,"")</f>
        <v/>
      </c>
      <c r="AM6" s="49">
        <f>IF(AND($C6&lt;=DATE(2026,9,14),$D6&gt;=DATE(2026,9,8)),1,"")</f>
        <v/>
      </c>
      <c r="AN6" s="49">
        <f>IF(AND($C6&lt;=DATE(2026,9,21),$D6&gt;=DATE(2026,9,15)),1,"")</f>
        <v/>
      </c>
      <c r="AO6" s="49">
        <f>IF(AND($C6&lt;=DATE(2026,9,30),$D6&gt;=DATE(2026,9,22)),1,"")</f>
        <v/>
      </c>
      <c r="AP6" s="49">
        <f>IF(AND($C6&lt;=DATE(2026,10,7),$D6&gt;=DATE(2026,10,1)),1,"")</f>
        <v/>
      </c>
      <c r="AQ6" s="49">
        <f>IF(AND($C6&lt;=DATE(2026,10,14),$D6&gt;=DATE(2026,10,8)),1,"")</f>
        <v/>
      </c>
      <c r="AR6" s="49">
        <f>IF(AND($C6&lt;=DATE(2026,10,21),$D6&gt;=DATE(2026,10,15)),1,"")</f>
        <v/>
      </c>
      <c r="AS6" s="49">
        <f>IF(AND($C6&lt;=DATE(2026,10,31),$D6&gt;=DATE(2026,10,22)),1,"")</f>
        <v/>
      </c>
      <c r="AT6" s="49">
        <f>IF(AND($C6&lt;=DATE(2026,11,7),$D6&gt;=DATE(2026,11,1)),1,"")</f>
        <v/>
      </c>
      <c r="AU6" s="49">
        <f>IF(AND($C6&lt;=DATE(2026,11,14),$D6&gt;=DATE(2026,11,8)),1,"")</f>
        <v/>
      </c>
      <c r="AV6" s="49">
        <f>IF(AND($C6&lt;=DATE(2026,11,21),$D6&gt;=DATE(2026,11,15)),1,"")</f>
        <v/>
      </c>
      <c r="AW6" s="49">
        <f>IF(AND($C6&lt;=DATE(2026,11,30),$D6&gt;=DATE(2026,11,22)),1,"")</f>
        <v/>
      </c>
      <c r="AX6" s="49">
        <f>IF(AND($C6&lt;=DATE(2026,12,7),$D6&gt;=DATE(2026,12,1)),1,"")</f>
        <v/>
      </c>
      <c r="AY6" s="49">
        <f>IF(AND($C6&lt;=DATE(2026,12,14),$D6&gt;=DATE(2026,12,8)),1,"")</f>
        <v/>
      </c>
      <c r="AZ6" s="49">
        <f>IF(AND($C6&lt;=DATE(2026,12,21),$D6&gt;=DATE(2026,12,15)),1,"")</f>
        <v/>
      </c>
      <c r="BA6" s="49">
        <f>IF(AND($C6&lt;=DATE(2026,12,31),$D6&gt;=DATE(2026,12,22)),1,"")</f>
        <v/>
      </c>
    </row>
    <row r="7" ht="32" customHeight="1">
      <c r="A7" s="34" t="inlineStr">
        <is>
          <t>Phase 3: Construction and Setup of Manual and IoT-Based Tanks</t>
        </is>
      </c>
      <c r="B7" s="35" t="inlineStr">
        <is>
          <t>Completed</t>
        </is>
      </c>
      <c r="C7" s="47" t="n">
        <v>46237</v>
      </c>
      <c r="D7" s="47" t="n">
        <v>46255</v>
      </c>
      <c r="E7" s="48">
        <f>IF(OR(C7="",D7=""),"",D7-C7+1)</f>
        <v/>
      </c>
      <c r="F7" s="49">
        <f>IF(AND($C7&lt;=DATE(2026,1,7),$D7&gt;=DATE(2026,1,1)),1,"")</f>
        <v/>
      </c>
      <c r="G7" s="49">
        <f>IF(AND($C7&lt;=DATE(2026,1,14),$D7&gt;=DATE(2026,1,8)),1,"")</f>
        <v/>
      </c>
      <c r="H7" s="49">
        <f>IF(AND($C7&lt;=DATE(2026,1,21),$D7&gt;=DATE(2026,1,15)),1,"")</f>
        <v/>
      </c>
      <c r="I7" s="49">
        <f>IF(AND($C7&lt;=DATE(2026,1,31),$D7&gt;=DATE(2026,1,22)),1,"")</f>
        <v/>
      </c>
      <c r="J7" s="49">
        <f>IF(AND($C7&lt;=DATE(2026,2,7),$D7&gt;=DATE(2026,2,1)),1,"")</f>
        <v/>
      </c>
      <c r="K7" s="49">
        <f>IF(AND($C7&lt;=DATE(2026,2,14),$D7&gt;=DATE(2026,2,8)),1,"")</f>
        <v/>
      </c>
      <c r="L7" s="49">
        <f>IF(AND($C7&lt;=DATE(2026,2,21),$D7&gt;=DATE(2026,2,15)),1,"")</f>
        <v/>
      </c>
      <c r="M7" s="49">
        <f>IF(AND($C7&lt;=DATE(2026,2,28),$D7&gt;=DATE(2026,2,22)),1,"")</f>
        <v/>
      </c>
      <c r="N7" s="49">
        <f>IF(AND($C7&lt;=DATE(2026,3,7),$D7&gt;=DATE(2026,3,1)),1,"")</f>
        <v/>
      </c>
      <c r="O7" s="49">
        <f>IF(AND($C7&lt;=DATE(2026,3,14),$D7&gt;=DATE(2026,3,8)),1,"")</f>
        <v/>
      </c>
      <c r="P7" s="49">
        <f>IF(AND($C7&lt;=DATE(2026,3,21),$D7&gt;=DATE(2026,3,15)),1,"")</f>
        <v/>
      </c>
      <c r="Q7" s="49">
        <f>IF(AND($C7&lt;=DATE(2026,3,31),$D7&gt;=DATE(2026,3,22)),1,"")</f>
        <v/>
      </c>
      <c r="R7" s="49">
        <f>IF(AND($C7&lt;=DATE(2026,4,7),$D7&gt;=DATE(2026,4,1)),1,"")</f>
        <v/>
      </c>
      <c r="S7" s="49">
        <f>IF(AND($C7&lt;=DATE(2026,4,14),$D7&gt;=DATE(2026,4,8)),1,"")</f>
        <v/>
      </c>
      <c r="T7" s="49">
        <f>IF(AND($C7&lt;=DATE(2026,4,21),$D7&gt;=DATE(2026,4,15)),1,"")</f>
        <v/>
      </c>
      <c r="U7" s="49">
        <f>IF(AND($C7&lt;=DATE(2026,4,30),$D7&gt;=DATE(2026,4,22)),1,"")</f>
        <v/>
      </c>
      <c r="V7" s="49">
        <f>IF(AND($C7&lt;=DATE(2026,5,7),$D7&gt;=DATE(2026,5,1)),1,"")</f>
        <v/>
      </c>
      <c r="W7" s="49">
        <f>IF(AND($C7&lt;=DATE(2026,5,14),$D7&gt;=DATE(2026,5,8)),1,"")</f>
        <v/>
      </c>
      <c r="X7" s="49">
        <f>IF(AND($C7&lt;=DATE(2026,5,21),$D7&gt;=DATE(2026,5,15)),1,"")</f>
        <v/>
      </c>
      <c r="Y7" s="49">
        <f>IF(AND($C7&lt;=DATE(2026,5,31),$D7&gt;=DATE(2026,5,22)),1,"")</f>
        <v/>
      </c>
      <c r="Z7" s="49">
        <f>IF(AND($C7&lt;=DATE(2026,6,7),$D7&gt;=DATE(2026,6,1)),1,"")</f>
        <v/>
      </c>
      <c r="AA7" s="49">
        <f>IF(AND($C7&lt;=DATE(2026,6,14),$D7&gt;=DATE(2026,6,8)),1,"")</f>
        <v/>
      </c>
      <c r="AB7" s="49">
        <f>IF(AND($C7&lt;=DATE(2026,6,21),$D7&gt;=DATE(2026,6,15)),1,"")</f>
        <v/>
      </c>
      <c r="AC7" s="49">
        <f>IF(AND($C7&lt;=DATE(2026,6,30),$D7&gt;=DATE(2026,6,22)),1,"")</f>
        <v/>
      </c>
      <c r="AD7" s="49">
        <f>IF(AND($C7&lt;=DATE(2026,7,7),$D7&gt;=DATE(2026,7,1)),1,"")</f>
        <v/>
      </c>
      <c r="AE7" s="49">
        <f>IF(AND($C7&lt;=DATE(2026,7,14),$D7&gt;=DATE(2026,7,8)),1,"")</f>
        <v/>
      </c>
      <c r="AF7" s="49">
        <f>IF(AND($C7&lt;=DATE(2026,7,21),$D7&gt;=DATE(2026,7,15)),1,"")</f>
        <v/>
      </c>
      <c r="AG7" s="49">
        <f>IF(AND($C7&lt;=DATE(2026,7,31),$D7&gt;=DATE(2026,7,22)),1,"")</f>
        <v/>
      </c>
      <c r="AH7" s="49">
        <f>IF(AND($C7&lt;=DATE(2026,8,7),$D7&gt;=DATE(2026,8,1)),1,"")</f>
        <v/>
      </c>
      <c r="AI7" s="49">
        <f>IF(AND($C7&lt;=DATE(2026,8,14),$D7&gt;=DATE(2026,8,8)),1,"")</f>
        <v/>
      </c>
      <c r="AJ7" s="49">
        <f>IF(AND($C7&lt;=DATE(2026,8,21),$D7&gt;=DATE(2026,8,15)),1,"")</f>
        <v/>
      </c>
      <c r="AK7" s="49">
        <f>IF(AND($C7&lt;=DATE(2026,8,31),$D7&gt;=DATE(2026,8,22)),1,"")</f>
        <v/>
      </c>
      <c r="AL7" s="49">
        <f>IF(AND($C7&lt;=DATE(2026,9,7),$D7&gt;=DATE(2026,9,1)),1,"")</f>
        <v/>
      </c>
      <c r="AM7" s="49">
        <f>IF(AND($C7&lt;=DATE(2026,9,14),$D7&gt;=DATE(2026,9,8)),1,"")</f>
        <v/>
      </c>
      <c r="AN7" s="49">
        <f>IF(AND($C7&lt;=DATE(2026,9,21),$D7&gt;=DATE(2026,9,15)),1,"")</f>
        <v/>
      </c>
      <c r="AO7" s="49">
        <f>IF(AND($C7&lt;=DATE(2026,9,30),$D7&gt;=DATE(2026,9,22)),1,"")</f>
        <v/>
      </c>
      <c r="AP7" s="49">
        <f>IF(AND($C7&lt;=DATE(2026,10,7),$D7&gt;=DATE(2026,10,1)),1,"")</f>
        <v/>
      </c>
      <c r="AQ7" s="49">
        <f>IF(AND($C7&lt;=DATE(2026,10,14),$D7&gt;=DATE(2026,10,8)),1,"")</f>
        <v/>
      </c>
      <c r="AR7" s="49">
        <f>IF(AND($C7&lt;=DATE(2026,10,21),$D7&gt;=DATE(2026,10,15)),1,"")</f>
        <v/>
      </c>
      <c r="AS7" s="49">
        <f>IF(AND($C7&lt;=DATE(2026,10,31),$D7&gt;=DATE(2026,10,22)),1,"")</f>
        <v/>
      </c>
      <c r="AT7" s="49">
        <f>IF(AND($C7&lt;=DATE(2026,11,7),$D7&gt;=DATE(2026,11,1)),1,"")</f>
        <v/>
      </c>
      <c r="AU7" s="49">
        <f>IF(AND($C7&lt;=DATE(2026,11,14),$D7&gt;=DATE(2026,11,8)),1,"")</f>
        <v/>
      </c>
      <c r="AV7" s="49">
        <f>IF(AND($C7&lt;=DATE(2026,11,21),$D7&gt;=DATE(2026,11,15)),1,"")</f>
        <v/>
      </c>
      <c r="AW7" s="49">
        <f>IF(AND($C7&lt;=DATE(2026,11,30),$D7&gt;=DATE(2026,11,22)),1,"")</f>
        <v/>
      </c>
      <c r="AX7" s="49">
        <f>IF(AND($C7&lt;=DATE(2026,12,7),$D7&gt;=DATE(2026,12,1)),1,"")</f>
        <v/>
      </c>
      <c r="AY7" s="49">
        <f>IF(AND($C7&lt;=DATE(2026,12,14),$D7&gt;=DATE(2026,12,8)),1,"")</f>
        <v/>
      </c>
      <c r="AZ7" s="49">
        <f>IF(AND($C7&lt;=DATE(2026,12,21),$D7&gt;=DATE(2026,12,15)),1,"")</f>
        <v/>
      </c>
      <c r="BA7" s="49">
        <f>IF(AND($C7&lt;=DATE(2026,12,31),$D7&gt;=DATE(2026,12,22)),1,"")</f>
        <v/>
      </c>
    </row>
    <row r="8" ht="32" customHeight="1">
      <c r="A8" s="34" t="inlineStr">
        <is>
          <t>Phase 4: Hardware Assembly, Sensor Calibration, and IoT Integration</t>
        </is>
      </c>
      <c r="B8" s="35" t="inlineStr">
        <is>
          <t>In Progress</t>
        </is>
      </c>
      <c r="C8" s="47" t="n">
        <v>46163</v>
      </c>
      <c r="D8" s="47" t="n">
        <v>46295</v>
      </c>
      <c r="E8" s="48">
        <f>IF(OR(C8="",D8=""),"",D8-C8+1)</f>
        <v/>
      </c>
      <c r="F8" s="49">
        <f>IF(AND($C8&lt;=DATE(2026,1,7),$D8&gt;=DATE(2026,1,1)),1,"")</f>
        <v/>
      </c>
      <c r="G8" s="49">
        <f>IF(AND($C8&lt;=DATE(2026,1,14),$D8&gt;=DATE(2026,1,8)),1,"")</f>
        <v/>
      </c>
      <c r="H8" s="49">
        <f>IF(AND($C8&lt;=DATE(2026,1,21),$D8&gt;=DATE(2026,1,15)),1,"")</f>
        <v/>
      </c>
      <c r="I8" s="49">
        <f>IF(AND($C8&lt;=DATE(2026,1,31),$D8&gt;=DATE(2026,1,22)),1,"")</f>
        <v/>
      </c>
      <c r="J8" s="49">
        <f>IF(AND($C8&lt;=DATE(2026,2,7),$D8&gt;=DATE(2026,2,1)),1,"")</f>
        <v/>
      </c>
      <c r="K8" s="49">
        <f>IF(AND($C8&lt;=DATE(2026,2,14),$D8&gt;=DATE(2026,2,8)),1,"")</f>
        <v/>
      </c>
      <c r="L8" s="49">
        <f>IF(AND($C8&lt;=DATE(2026,2,21),$D8&gt;=DATE(2026,2,15)),1,"")</f>
        <v/>
      </c>
      <c r="M8" s="49">
        <f>IF(AND($C8&lt;=DATE(2026,2,28),$D8&gt;=DATE(2026,2,22)),1,"")</f>
        <v/>
      </c>
      <c r="N8" s="49">
        <f>IF(AND($C8&lt;=DATE(2026,3,7),$D8&gt;=DATE(2026,3,1)),1,"")</f>
        <v/>
      </c>
      <c r="O8" s="49">
        <f>IF(AND($C8&lt;=DATE(2026,3,14),$D8&gt;=DATE(2026,3,8)),1,"")</f>
        <v/>
      </c>
      <c r="P8" s="49">
        <f>IF(AND($C8&lt;=DATE(2026,3,21),$D8&gt;=DATE(2026,3,15)),1,"")</f>
        <v/>
      </c>
      <c r="Q8" s="49">
        <f>IF(AND($C8&lt;=DATE(2026,3,31),$D8&gt;=DATE(2026,3,22)),1,"")</f>
        <v/>
      </c>
      <c r="R8" s="49">
        <f>IF(AND($C8&lt;=DATE(2026,4,7),$D8&gt;=DATE(2026,4,1)),1,"")</f>
        <v/>
      </c>
      <c r="S8" s="49">
        <f>IF(AND($C8&lt;=DATE(2026,4,14),$D8&gt;=DATE(2026,4,8)),1,"")</f>
        <v/>
      </c>
      <c r="T8" s="49">
        <f>IF(AND($C8&lt;=DATE(2026,4,21),$D8&gt;=DATE(2026,4,15)),1,"")</f>
        <v/>
      </c>
      <c r="U8" s="49">
        <f>IF(AND($C8&lt;=DATE(2026,4,30),$D8&gt;=DATE(2026,4,22)),1,"")</f>
        <v/>
      </c>
      <c r="V8" s="49">
        <f>IF(AND($C8&lt;=DATE(2026,5,7),$D8&gt;=DATE(2026,5,1)),1,"")</f>
        <v/>
      </c>
      <c r="W8" s="49">
        <f>IF(AND($C8&lt;=DATE(2026,5,14),$D8&gt;=DATE(2026,5,8)),1,"")</f>
        <v/>
      </c>
      <c r="X8" s="49">
        <f>IF(AND($C8&lt;=DATE(2026,5,21),$D8&gt;=DATE(2026,5,15)),1,"")</f>
        <v/>
      </c>
      <c r="Y8" s="49">
        <f>IF(AND($C8&lt;=DATE(2026,5,31),$D8&gt;=DATE(2026,5,22)),1,"")</f>
        <v/>
      </c>
      <c r="Z8" s="49">
        <f>IF(AND($C8&lt;=DATE(2026,6,7),$D8&gt;=DATE(2026,6,1)),1,"")</f>
        <v/>
      </c>
      <c r="AA8" s="49">
        <f>IF(AND($C8&lt;=DATE(2026,6,14),$D8&gt;=DATE(2026,6,8)),1,"")</f>
        <v/>
      </c>
      <c r="AB8" s="49">
        <f>IF(AND($C8&lt;=DATE(2026,6,21),$D8&gt;=DATE(2026,6,15)),1,"")</f>
        <v/>
      </c>
      <c r="AC8" s="49">
        <f>IF(AND($C8&lt;=DATE(2026,6,30),$D8&gt;=DATE(2026,6,22)),1,"")</f>
        <v/>
      </c>
      <c r="AD8" s="49">
        <f>IF(AND($C8&lt;=DATE(2026,7,7),$D8&gt;=DATE(2026,7,1)),1,"")</f>
        <v/>
      </c>
      <c r="AE8" s="49">
        <f>IF(AND($C8&lt;=DATE(2026,7,14),$D8&gt;=DATE(2026,7,8)),1,"")</f>
        <v/>
      </c>
      <c r="AF8" s="49">
        <f>IF(AND($C8&lt;=DATE(2026,7,21),$D8&gt;=DATE(2026,7,15)),1,"")</f>
        <v/>
      </c>
      <c r="AG8" s="49">
        <f>IF(AND($C8&lt;=DATE(2026,7,31),$D8&gt;=DATE(2026,7,22)),1,"")</f>
        <v/>
      </c>
      <c r="AH8" s="49">
        <f>IF(AND($C8&lt;=DATE(2026,8,7),$D8&gt;=DATE(2026,8,1)),1,"")</f>
        <v/>
      </c>
      <c r="AI8" s="49">
        <f>IF(AND($C8&lt;=DATE(2026,8,14),$D8&gt;=DATE(2026,8,8)),1,"")</f>
        <v/>
      </c>
      <c r="AJ8" s="49">
        <f>IF(AND($C8&lt;=DATE(2026,8,21),$D8&gt;=DATE(2026,8,15)),1,"")</f>
        <v/>
      </c>
      <c r="AK8" s="49">
        <f>IF(AND($C8&lt;=DATE(2026,8,31),$D8&gt;=DATE(2026,8,22)),1,"")</f>
        <v/>
      </c>
      <c r="AL8" s="49">
        <f>IF(AND($C8&lt;=DATE(2026,9,7),$D8&gt;=DATE(2026,9,1)),1,"")</f>
        <v/>
      </c>
      <c r="AM8" s="49">
        <f>IF(AND($C8&lt;=DATE(2026,9,14),$D8&gt;=DATE(2026,9,8)),1,"")</f>
        <v/>
      </c>
      <c r="AN8" s="49">
        <f>IF(AND($C8&lt;=DATE(2026,9,21),$D8&gt;=DATE(2026,9,15)),1,"")</f>
        <v/>
      </c>
      <c r="AO8" s="49">
        <f>IF(AND($C8&lt;=DATE(2026,9,30),$D8&gt;=DATE(2026,9,22)),1,"")</f>
        <v/>
      </c>
      <c r="AP8" s="49">
        <f>IF(AND($C8&lt;=DATE(2026,10,7),$D8&gt;=DATE(2026,10,1)),1,"")</f>
        <v/>
      </c>
      <c r="AQ8" s="49">
        <f>IF(AND($C8&lt;=DATE(2026,10,14),$D8&gt;=DATE(2026,10,8)),1,"")</f>
        <v/>
      </c>
      <c r="AR8" s="49">
        <f>IF(AND($C8&lt;=DATE(2026,10,21),$D8&gt;=DATE(2026,10,15)),1,"")</f>
        <v/>
      </c>
      <c r="AS8" s="49">
        <f>IF(AND($C8&lt;=DATE(2026,10,31),$D8&gt;=DATE(2026,10,22)),1,"")</f>
        <v/>
      </c>
      <c r="AT8" s="49">
        <f>IF(AND($C8&lt;=DATE(2026,11,7),$D8&gt;=DATE(2026,11,1)),1,"")</f>
        <v/>
      </c>
      <c r="AU8" s="49">
        <f>IF(AND($C8&lt;=DATE(2026,11,14),$D8&gt;=DATE(2026,11,8)),1,"")</f>
        <v/>
      </c>
      <c r="AV8" s="49">
        <f>IF(AND($C8&lt;=DATE(2026,11,21),$D8&gt;=DATE(2026,11,15)),1,"")</f>
        <v/>
      </c>
      <c r="AW8" s="49">
        <f>IF(AND($C8&lt;=DATE(2026,11,30),$D8&gt;=DATE(2026,11,22)),1,"")</f>
        <v/>
      </c>
      <c r="AX8" s="49">
        <f>IF(AND($C8&lt;=DATE(2026,12,7),$D8&gt;=DATE(2026,12,1)),1,"")</f>
        <v/>
      </c>
      <c r="AY8" s="49">
        <f>IF(AND($C8&lt;=DATE(2026,12,14),$D8&gt;=DATE(2026,12,8)),1,"")</f>
        <v/>
      </c>
      <c r="AZ8" s="49">
        <f>IF(AND($C8&lt;=DATE(2026,12,21),$D8&gt;=DATE(2026,12,15)),1,"")</f>
        <v/>
      </c>
      <c r="BA8" s="49">
        <f>IF(AND($C8&lt;=DATE(2026,12,31),$D8&gt;=DATE(2026,12,22)),1,"")</f>
        <v/>
      </c>
    </row>
    <row r="9" ht="32" customHeight="1">
      <c r="A9" s="34" t="inlineStr">
        <is>
          <t>Phase 5: Mobile Application and Cloud Backend Development</t>
        </is>
      </c>
      <c r="B9" s="35" t="inlineStr">
        <is>
          <t>In Progress</t>
        </is>
      </c>
      <c r="C9" s="47" t="n">
        <v>46163</v>
      </c>
      <c r="D9" s="47" t="n">
        <v>46295</v>
      </c>
      <c r="E9" s="48">
        <f>IF(OR(C9="",D9=""),"",D9-C9+1)</f>
        <v/>
      </c>
      <c r="F9" s="49">
        <f>IF(AND($C9&lt;=DATE(2026,1,7),$D9&gt;=DATE(2026,1,1)),1,"")</f>
        <v/>
      </c>
      <c r="G9" s="49">
        <f>IF(AND($C9&lt;=DATE(2026,1,14),$D9&gt;=DATE(2026,1,8)),1,"")</f>
        <v/>
      </c>
      <c r="H9" s="49">
        <f>IF(AND($C9&lt;=DATE(2026,1,21),$D9&gt;=DATE(2026,1,15)),1,"")</f>
        <v/>
      </c>
      <c r="I9" s="49">
        <f>IF(AND($C9&lt;=DATE(2026,1,31),$D9&gt;=DATE(2026,1,22)),1,"")</f>
        <v/>
      </c>
      <c r="J9" s="49">
        <f>IF(AND($C9&lt;=DATE(2026,2,7),$D9&gt;=DATE(2026,2,1)),1,"")</f>
        <v/>
      </c>
      <c r="K9" s="49">
        <f>IF(AND($C9&lt;=DATE(2026,2,14),$D9&gt;=DATE(2026,2,8)),1,"")</f>
        <v/>
      </c>
      <c r="L9" s="49">
        <f>IF(AND($C9&lt;=DATE(2026,2,21),$D9&gt;=DATE(2026,2,15)),1,"")</f>
        <v/>
      </c>
      <c r="M9" s="49">
        <f>IF(AND($C9&lt;=DATE(2026,2,28),$D9&gt;=DATE(2026,2,22)),1,"")</f>
        <v/>
      </c>
      <c r="N9" s="49">
        <f>IF(AND($C9&lt;=DATE(2026,3,7),$D9&gt;=DATE(2026,3,1)),1,"")</f>
        <v/>
      </c>
      <c r="O9" s="49">
        <f>IF(AND($C9&lt;=DATE(2026,3,14),$D9&gt;=DATE(2026,3,8)),1,"")</f>
        <v/>
      </c>
      <c r="P9" s="49">
        <f>IF(AND($C9&lt;=DATE(2026,3,21),$D9&gt;=DATE(2026,3,15)),1,"")</f>
        <v/>
      </c>
      <c r="Q9" s="49">
        <f>IF(AND($C9&lt;=DATE(2026,3,31),$D9&gt;=DATE(2026,3,22)),1,"")</f>
        <v/>
      </c>
      <c r="R9" s="49">
        <f>IF(AND($C9&lt;=DATE(2026,4,7),$D9&gt;=DATE(2026,4,1)),1,"")</f>
        <v/>
      </c>
      <c r="S9" s="49">
        <f>IF(AND($C9&lt;=DATE(2026,4,14),$D9&gt;=DATE(2026,4,8)),1,"")</f>
        <v/>
      </c>
      <c r="T9" s="49">
        <f>IF(AND($C9&lt;=DATE(2026,4,21),$D9&gt;=DATE(2026,4,15)),1,"")</f>
        <v/>
      </c>
      <c r="U9" s="49">
        <f>IF(AND($C9&lt;=DATE(2026,4,30),$D9&gt;=DATE(2026,4,22)),1,"")</f>
        <v/>
      </c>
      <c r="V9" s="49">
        <f>IF(AND($C9&lt;=DATE(2026,5,7),$D9&gt;=DATE(2026,5,1)),1,"")</f>
        <v/>
      </c>
      <c r="W9" s="49">
        <f>IF(AND($C9&lt;=DATE(2026,5,14),$D9&gt;=DATE(2026,5,8)),1,"")</f>
        <v/>
      </c>
      <c r="X9" s="49">
        <f>IF(AND($C9&lt;=DATE(2026,5,21),$D9&gt;=DATE(2026,5,15)),1,"")</f>
        <v/>
      </c>
      <c r="Y9" s="49">
        <f>IF(AND($C9&lt;=DATE(2026,5,31),$D9&gt;=DATE(2026,5,22)),1,"")</f>
        <v/>
      </c>
      <c r="Z9" s="49">
        <f>IF(AND($C9&lt;=DATE(2026,6,7),$D9&gt;=DATE(2026,6,1)),1,"")</f>
        <v/>
      </c>
      <c r="AA9" s="49">
        <f>IF(AND($C9&lt;=DATE(2026,6,14),$D9&gt;=DATE(2026,6,8)),1,"")</f>
        <v/>
      </c>
      <c r="AB9" s="49">
        <f>IF(AND($C9&lt;=DATE(2026,6,21),$D9&gt;=DATE(2026,6,15)),1,"")</f>
        <v/>
      </c>
      <c r="AC9" s="49">
        <f>IF(AND($C9&lt;=DATE(2026,6,30),$D9&gt;=DATE(2026,6,22)),1,"")</f>
        <v/>
      </c>
      <c r="AD9" s="49">
        <f>IF(AND($C9&lt;=DATE(2026,7,7),$D9&gt;=DATE(2026,7,1)),1,"")</f>
        <v/>
      </c>
      <c r="AE9" s="49">
        <f>IF(AND($C9&lt;=DATE(2026,7,14),$D9&gt;=DATE(2026,7,8)),1,"")</f>
        <v/>
      </c>
      <c r="AF9" s="49">
        <f>IF(AND($C9&lt;=DATE(2026,7,21),$D9&gt;=DATE(2026,7,15)),1,"")</f>
        <v/>
      </c>
      <c r="AG9" s="49">
        <f>IF(AND($C9&lt;=DATE(2026,7,31),$D9&gt;=DATE(2026,7,22)),1,"")</f>
        <v/>
      </c>
      <c r="AH9" s="49">
        <f>IF(AND($C9&lt;=DATE(2026,8,7),$D9&gt;=DATE(2026,8,1)),1,"")</f>
        <v/>
      </c>
      <c r="AI9" s="49">
        <f>IF(AND($C9&lt;=DATE(2026,8,14),$D9&gt;=DATE(2026,8,8)),1,"")</f>
        <v/>
      </c>
      <c r="AJ9" s="49">
        <f>IF(AND($C9&lt;=DATE(2026,8,21),$D9&gt;=DATE(2026,8,15)),1,"")</f>
        <v/>
      </c>
      <c r="AK9" s="49">
        <f>IF(AND($C9&lt;=DATE(2026,8,31),$D9&gt;=DATE(2026,8,22)),1,"")</f>
        <v/>
      </c>
      <c r="AL9" s="49">
        <f>IF(AND($C9&lt;=DATE(2026,9,7),$D9&gt;=DATE(2026,9,1)),1,"")</f>
        <v/>
      </c>
      <c r="AM9" s="49">
        <f>IF(AND($C9&lt;=DATE(2026,9,14),$D9&gt;=DATE(2026,9,8)),1,"")</f>
        <v/>
      </c>
      <c r="AN9" s="49">
        <f>IF(AND($C9&lt;=DATE(2026,9,21),$D9&gt;=DATE(2026,9,15)),1,"")</f>
        <v/>
      </c>
      <c r="AO9" s="49">
        <f>IF(AND($C9&lt;=DATE(2026,9,30),$D9&gt;=DATE(2026,9,22)),1,"")</f>
        <v/>
      </c>
      <c r="AP9" s="49">
        <f>IF(AND($C9&lt;=DATE(2026,10,7),$D9&gt;=DATE(2026,10,1)),1,"")</f>
        <v/>
      </c>
      <c r="AQ9" s="49">
        <f>IF(AND($C9&lt;=DATE(2026,10,14),$D9&gt;=DATE(2026,10,8)),1,"")</f>
        <v/>
      </c>
      <c r="AR9" s="49">
        <f>IF(AND($C9&lt;=DATE(2026,10,21),$D9&gt;=DATE(2026,10,15)),1,"")</f>
        <v/>
      </c>
      <c r="AS9" s="49">
        <f>IF(AND($C9&lt;=DATE(2026,10,31),$D9&gt;=DATE(2026,10,22)),1,"")</f>
        <v/>
      </c>
      <c r="AT9" s="49">
        <f>IF(AND($C9&lt;=DATE(2026,11,7),$D9&gt;=DATE(2026,11,1)),1,"")</f>
        <v/>
      </c>
      <c r="AU9" s="49">
        <f>IF(AND($C9&lt;=DATE(2026,11,14),$D9&gt;=DATE(2026,11,8)),1,"")</f>
        <v/>
      </c>
      <c r="AV9" s="49">
        <f>IF(AND($C9&lt;=DATE(2026,11,21),$D9&gt;=DATE(2026,11,15)),1,"")</f>
        <v/>
      </c>
      <c r="AW9" s="49">
        <f>IF(AND($C9&lt;=DATE(2026,11,30),$D9&gt;=DATE(2026,11,22)),1,"")</f>
        <v/>
      </c>
      <c r="AX9" s="49">
        <f>IF(AND($C9&lt;=DATE(2026,12,7),$D9&gt;=DATE(2026,12,1)),1,"")</f>
        <v/>
      </c>
      <c r="AY9" s="49">
        <f>IF(AND($C9&lt;=DATE(2026,12,14),$D9&gt;=DATE(2026,12,8)),1,"")</f>
        <v/>
      </c>
      <c r="AZ9" s="49">
        <f>IF(AND($C9&lt;=DATE(2026,12,21),$D9&gt;=DATE(2026,12,15)),1,"")</f>
        <v/>
      </c>
      <c r="BA9" s="49">
        <f>IF(AND($C9&lt;=DATE(2026,12,31),$D9&gt;=DATE(2026,12,22)),1,"")</f>
        <v/>
      </c>
    </row>
    <row r="10" ht="32" customHeight="1">
      <c r="A10" s="34" t="inlineStr">
        <is>
          <t>Phase 6: Machine Learning Anomaly Detection Development and Testing</t>
        </is>
      </c>
      <c r="B10" s="35" t="inlineStr">
        <is>
          <t>In Progress</t>
        </is>
      </c>
      <c r="C10" s="47" t="n">
        <v>46237</v>
      </c>
      <c r="D10" s="47" t="n">
        <v>46295</v>
      </c>
      <c r="E10" s="48">
        <f>IF(OR(C10="",D10=""),"",D10-C10+1)</f>
        <v/>
      </c>
      <c r="F10" s="49">
        <f>IF(AND($C10&lt;=DATE(2026,1,7),$D10&gt;=DATE(2026,1,1)),1,"")</f>
        <v/>
      </c>
      <c r="G10" s="49">
        <f>IF(AND($C10&lt;=DATE(2026,1,14),$D10&gt;=DATE(2026,1,8)),1,"")</f>
        <v/>
      </c>
      <c r="H10" s="49">
        <f>IF(AND($C10&lt;=DATE(2026,1,21),$D10&gt;=DATE(2026,1,15)),1,"")</f>
        <v/>
      </c>
      <c r="I10" s="49">
        <f>IF(AND($C10&lt;=DATE(2026,1,31),$D10&gt;=DATE(2026,1,22)),1,"")</f>
        <v/>
      </c>
      <c r="J10" s="49">
        <f>IF(AND($C10&lt;=DATE(2026,2,7),$D10&gt;=DATE(2026,2,1)),1,"")</f>
        <v/>
      </c>
      <c r="K10" s="49">
        <f>IF(AND($C10&lt;=DATE(2026,2,14),$D10&gt;=DATE(2026,2,8)),1,"")</f>
        <v/>
      </c>
      <c r="L10" s="49">
        <f>IF(AND($C10&lt;=DATE(2026,2,21),$D10&gt;=DATE(2026,2,15)),1,"")</f>
        <v/>
      </c>
      <c r="M10" s="49">
        <f>IF(AND($C10&lt;=DATE(2026,2,28),$D10&gt;=DATE(2026,2,22)),1,"")</f>
        <v/>
      </c>
      <c r="N10" s="49">
        <f>IF(AND($C10&lt;=DATE(2026,3,7),$D10&gt;=DATE(2026,3,1)),1,"")</f>
        <v/>
      </c>
      <c r="O10" s="49">
        <f>IF(AND($C10&lt;=DATE(2026,3,14),$D10&gt;=DATE(2026,3,8)),1,"")</f>
        <v/>
      </c>
      <c r="P10" s="49">
        <f>IF(AND($C10&lt;=DATE(2026,3,21),$D10&gt;=DATE(2026,3,15)),1,"")</f>
        <v/>
      </c>
      <c r="Q10" s="49">
        <f>IF(AND($C10&lt;=DATE(2026,3,31),$D10&gt;=DATE(2026,3,22)),1,"")</f>
        <v/>
      </c>
      <c r="R10" s="49">
        <f>IF(AND($C10&lt;=DATE(2026,4,7),$D10&gt;=DATE(2026,4,1)),1,"")</f>
        <v/>
      </c>
      <c r="S10" s="49">
        <f>IF(AND($C10&lt;=DATE(2026,4,14),$D10&gt;=DATE(2026,4,8)),1,"")</f>
        <v/>
      </c>
      <c r="T10" s="49">
        <f>IF(AND($C10&lt;=DATE(2026,4,21),$D10&gt;=DATE(2026,4,15)),1,"")</f>
        <v/>
      </c>
      <c r="U10" s="49">
        <f>IF(AND($C10&lt;=DATE(2026,4,30),$D10&gt;=DATE(2026,4,22)),1,"")</f>
        <v/>
      </c>
      <c r="V10" s="49">
        <f>IF(AND($C10&lt;=DATE(2026,5,7),$D10&gt;=DATE(2026,5,1)),1,"")</f>
        <v/>
      </c>
      <c r="W10" s="49">
        <f>IF(AND($C10&lt;=DATE(2026,5,14),$D10&gt;=DATE(2026,5,8)),1,"")</f>
        <v/>
      </c>
      <c r="X10" s="49">
        <f>IF(AND($C10&lt;=DATE(2026,5,21),$D10&gt;=DATE(2026,5,15)),1,"")</f>
        <v/>
      </c>
      <c r="Y10" s="49">
        <f>IF(AND($C10&lt;=DATE(2026,5,31),$D10&gt;=DATE(2026,5,22)),1,"")</f>
        <v/>
      </c>
      <c r="Z10" s="49">
        <f>IF(AND($C10&lt;=DATE(2026,6,7),$D10&gt;=DATE(2026,6,1)),1,"")</f>
        <v/>
      </c>
      <c r="AA10" s="49">
        <f>IF(AND($C10&lt;=DATE(2026,6,14),$D10&gt;=DATE(2026,6,8)),1,"")</f>
        <v/>
      </c>
      <c r="AB10" s="49">
        <f>IF(AND($C10&lt;=DATE(2026,6,21),$D10&gt;=DATE(2026,6,15)),1,"")</f>
        <v/>
      </c>
      <c r="AC10" s="49">
        <f>IF(AND($C10&lt;=DATE(2026,6,30),$D10&gt;=DATE(2026,6,22)),1,"")</f>
        <v/>
      </c>
      <c r="AD10" s="49">
        <f>IF(AND($C10&lt;=DATE(2026,7,7),$D10&gt;=DATE(2026,7,1)),1,"")</f>
        <v/>
      </c>
      <c r="AE10" s="49">
        <f>IF(AND($C10&lt;=DATE(2026,7,14),$D10&gt;=DATE(2026,7,8)),1,"")</f>
        <v/>
      </c>
      <c r="AF10" s="49">
        <f>IF(AND($C10&lt;=DATE(2026,7,21),$D10&gt;=DATE(2026,7,15)),1,"")</f>
        <v/>
      </c>
      <c r="AG10" s="49">
        <f>IF(AND($C10&lt;=DATE(2026,7,31),$D10&gt;=DATE(2026,7,22)),1,"")</f>
        <v/>
      </c>
      <c r="AH10" s="49">
        <f>IF(AND($C10&lt;=DATE(2026,8,7),$D10&gt;=DATE(2026,8,1)),1,"")</f>
        <v/>
      </c>
      <c r="AI10" s="49">
        <f>IF(AND($C10&lt;=DATE(2026,8,14),$D10&gt;=DATE(2026,8,8)),1,"")</f>
        <v/>
      </c>
      <c r="AJ10" s="49">
        <f>IF(AND($C10&lt;=DATE(2026,8,21),$D10&gt;=DATE(2026,8,15)),1,"")</f>
        <v/>
      </c>
      <c r="AK10" s="49">
        <f>IF(AND($C10&lt;=DATE(2026,8,31),$D10&gt;=DATE(2026,8,22)),1,"")</f>
        <v/>
      </c>
      <c r="AL10" s="49">
        <f>IF(AND($C10&lt;=DATE(2026,9,7),$D10&gt;=DATE(2026,9,1)),1,"")</f>
        <v/>
      </c>
      <c r="AM10" s="49">
        <f>IF(AND($C10&lt;=DATE(2026,9,14),$D10&gt;=DATE(2026,9,8)),1,"")</f>
        <v/>
      </c>
      <c r="AN10" s="49">
        <f>IF(AND($C10&lt;=DATE(2026,9,21),$D10&gt;=DATE(2026,9,15)),1,"")</f>
        <v/>
      </c>
      <c r="AO10" s="49">
        <f>IF(AND($C10&lt;=DATE(2026,9,30),$D10&gt;=DATE(2026,9,22)),1,"")</f>
        <v/>
      </c>
      <c r="AP10" s="49">
        <f>IF(AND($C10&lt;=DATE(2026,10,7),$D10&gt;=DATE(2026,10,1)),1,"")</f>
        <v/>
      </c>
      <c r="AQ10" s="49">
        <f>IF(AND($C10&lt;=DATE(2026,10,14),$D10&gt;=DATE(2026,10,8)),1,"")</f>
        <v/>
      </c>
      <c r="AR10" s="49">
        <f>IF(AND($C10&lt;=DATE(2026,10,21),$D10&gt;=DATE(2026,10,15)),1,"")</f>
        <v/>
      </c>
      <c r="AS10" s="49">
        <f>IF(AND($C10&lt;=DATE(2026,10,31),$D10&gt;=DATE(2026,10,22)),1,"")</f>
        <v/>
      </c>
      <c r="AT10" s="49">
        <f>IF(AND($C10&lt;=DATE(2026,11,7),$D10&gt;=DATE(2026,11,1)),1,"")</f>
        <v/>
      </c>
      <c r="AU10" s="49">
        <f>IF(AND($C10&lt;=DATE(2026,11,14),$D10&gt;=DATE(2026,11,8)),1,"")</f>
        <v/>
      </c>
      <c r="AV10" s="49">
        <f>IF(AND($C10&lt;=DATE(2026,11,21),$D10&gt;=DATE(2026,11,15)),1,"")</f>
        <v/>
      </c>
      <c r="AW10" s="49">
        <f>IF(AND($C10&lt;=DATE(2026,11,30),$D10&gt;=DATE(2026,11,22)),1,"")</f>
        <v/>
      </c>
      <c r="AX10" s="49">
        <f>IF(AND($C10&lt;=DATE(2026,12,7),$D10&gt;=DATE(2026,12,1)),1,"")</f>
        <v/>
      </c>
      <c r="AY10" s="49">
        <f>IF(AND($C10&lt;=DATE(2026,12,14),$D10&gt;=DATE(2026,12,8)),1,"")</f>
        <v/>
      </c>
      <c r="AZ10" s="49">
        <f>IF(AND($C10&lt;=DATE(2026,12,21),$D10&gt;=DATE(2026,12,15)),1,"")</f>
        <v/>
      </c>
      <c r="BA10" s="49">
        <f>IF(AND($C10&lt;=DATE(2026,12,31),$D10&gt;=DATE(2026,12,22)),1,"")</f>
        <v/>
      </c>
    </row>
    <row r="11" ht="32" customHeight="1">
      <c r="A11" s="34" t="inlineStr">
        <is>
          <t>Phase 7: Actual Tank System Installation and Initial Testing</t>
        </is>
      </c>
      <c r="B11" s="35" t="inlineStr">
        <is>
          <t>Pending</t>
        </is>
      </c>
      <c r="C11" s="47" t="n">
        <v>46289</v>
      </c>
      <c r="D11" s="47" t="n">
        <v>46295</v>
      </c>
      <c r="E11" s="48">
        <f>IF(OR(C11="",D11=""),"",D11-C11+1)</f>
        <v/>
      </c>
      <c r="F11" s="49">
        <f>IF(AND($C11&lt;=DATE(2026,1,7),$D11&gt;=DATE(2026,1,1)),1,"")</f>
        <v/>
      </c>
      <c r="G11" s="49">
        <f>IF(AND($C11&lt;=DATE(2026,1,14),$D11&gt;=DATE(2026,1,8)),1,"")</f>
        <v/>
      </c>
      <c r="H11" s="49">
        <f>IF(AND($C11&lt;=DATE(2026,1,21),$D11&gt;=DATE(2026,1,15)),1,"")</f>
        <v/>
      </c>
      <c r="I11" s="49">
        <f>IF(AND($C11&lt;=DATE(2026,1,31),$D11&gt;=DATE(2026,1,22)),1,"")</f>
        <v/>
      </c>
      <c r="J11" s="49">
        <f>IF(AND($C11&lt;=DATE(2026,2,7),$D11&gt;=DATE(2026,2,1)),1,"")</f>
        <v/>
      </c>
      <c r="K11" s="49">
        <f>IF(AND($C11&lt;=DATE(2026,2,14),$D11&gt;=DATE(2026,2,8)),1,"")</f>
        <v/>
      </c>
      <c r="L11" s="49">
        <f>IF(AND($C11&lt;=DATE(2026,2,21),$D11&gt;=DATE(2026,2,15)),1,"")</f>
        <v/>
      </c>
      <c r="M11" s="49">
        <f>IF(AND($C11&lt;=DATE(2026,2,28),$D11&gt;=DATE(2026,2,22)),1,"")</f>
        <v/>
      </c>
      <c r="N11" s="49">
        <f>IF(AND($C11&lt;=DATE(2026,3,7),$D11&gt;=DATE(2026,3,1)),1,"")</f>
        <v/>
      </c>
      <c r="O11" s="49">
        <f>IF(AND($C11&lt;=DATE(2026,3,14),$D11&gt;=DATE(2026,3,8)),1,"")</f>
        <v/>
      </c>
      <c r="P11" s="49">
        <f>IF(AND($C11&lt;=DATE(2026,3,21),$D11&gt;=DATE(2026,3,15)),1,"")</f>
        <v/>
      </c>
      <c r="Q11" s="49">
        <f>IF(AND($C11&lt;=DATE(2026,3,31),$D11&gt;=DATE(2026,3,22)),1,"")</f>
        <v/>
      </c>
      <c r="R11" s="49">
        <f>IF(AND($C11&lt;=DATE(2026,4,7),$D11&gt;=DATE(2026,4,1)),1,"")</f>
        <v/>
      </c>
      <c r="S11" s="49">
        <f>IF(AND($C11&lt;=DATE(2026,4,14),$D11&gt;=DATE(2026,4,8)),1,"")</f>
        <v/>
      </c>
      <c r="T11" s="49">
        <f>IF(AND($C11&lt;=DATE(2026,4,21),$D11&gt;=DATE(2026,4,15)),1,"")</f>
        <v/>
      </c>
      <c r="U11" s="49">
        <f>IF(AND($C11&lt;=DATE(2026,4,30),$D11&gt;=DATE(2026,4,22)),1,"")</f>
        <v/>
      </c>
      <c r="V11" s="49">
        <f>IF(AND($C11&lt;=DATE(2026,5,7),$D11&gt;=DATE(2026,5,1)),1,"")</f>
        <v/>
      </c>
      <c r="W11" s="49">
        <f>IF(AND($C11&lt;=DATE(2026,5,14),$D11&gt;=DATE(2026,5,8)),1,"")</f>
        <v/>
      </c>
      <c r="X11" s="49">
        <f>IF(AND($C11&lt;=DATE(2026,5,21),$D11&gt;=DATE(2026,5,15)),1,"")</f>
        <v/>
      </c>
      <c r="Y11" s="49">
        <f>IF(AND($C11&lt;=DATE(2026,5,31),$D11&gt;=DATE(2026,5,22)),1,"")</f>
        <v/>
      </c>
      <c r="Z11" s="49">
        <f>IF(AND($C11&lt;=DATE(2026,6,7),$D11&gt;=DATE(2026,6,1)),1,"")</f>
        <v/>
      </c>
      <c r="AA11" s="49">
        <f>IF(AND($C11&lt;=DATE(2026,6,14),$D11&gt;=DATE(2026,6,8)),1,"")</f>
        <v/>
      </c>
      <c r="AB11" s="49">
        <f>IF(AND($C11&lt;=DATE(2026,6,21),$D11&gt;=DATE(2026,6,15)),1,"")</f>
        <v/>
      </c>
      <c r="AC11" s="49">
        <f>IF(AND($C11&lt;=DATE(2026,6,30),$D11&gt;=DATE(2026,6,22)),1,"")</f>
        <v/>
      </c>
      <c r="AD11" s="49">
        <f>IF(AND($C11&lt;=DATE(2026,7,7),$D11&gt;=DATE(2026,7,1)),1,"")</f>
        <v/>
      </c>
      <c r="AE11" s="49">
        <f>IF(AND($C11&lt;=DATE(2026,7,14),$D11&gt;=DATE(2026,7,8)),1,"")</f>
        <v/>
      </c>
      <c r="AF11" s="49">
        <f>IF(AND($C11&lt;=DATE(2026,7,21),$D11&gt;=DATE(2026,7,15)),1,"")</f>
        <v/>
      </c>
      <c r="AG11" s="49">
        <f>IF(AND($C11&lt;=DATE(2026,7,31),$D11&gt;=DATE(2026,7,22)),1,"")</f>
        <v/>
      </c>
      <c r="AH11" s="49">
        <f>IF(AND($C11&lt;=DATE(2026,8,7),$D11&gt;=DATE(2026,8,1)),1,"")</f>
        <v/>
      </c>
      <c r="AI11" s="49">
        <f>IF(AND($C11&lt;=DATE(2026,8,14),$D11&gt;=DATE(2026,8,8)),1,"")</f>
        <v/>
      </c>
      <c r="AJ11" s="49">
        <f>IF(AND($C11&lt;=DATE(2026,8,21),$D11&gt;=DATE(2026,8,15)),1,"")</f>
        <v/>
      </c>
      <c r="AK11" s="49">
        <f>IF(AND($C11&lt;=DATE(2026,8,31),$D11&gt;=DATE(2026,8,22)),1,"")</f>
        <v/>
      </c>
      <c r="AL11" s="49">
        <f>IF(AND($C11&lt;=DATE(2026,9,7),$D11&gt;=DATE(2026,9,1)),1,"")</f>
        <v/>
      </c>
      <c r="AM11" s="49">
        <f>IF(AND($C11&lt;=DATE(2026,9,14),$D11&gt;=DATE(2026,9,8)),1,"")</f>
        <v/>
      </c>
      <c r="AN11" s="49">
        <f>IF(AND($C11&lt;=DATE(2026,9,21),$D11&gt;=DATE(2026,9,15)),1,"")</f>
        <v/>
      </c>
      <c r="AO11" s="49">
        <f>IF(AND($C11&lt;=DATE(2026,9,30),$D11&gt;=DATE(2026,9,22)),1,"")</f>
        <v/>
      </c>
      <c r="AP11" s="49">
        <f>IF(AND($C11&lt;=DATE(2026,10,7),$D11&gt;=DATE(2026,10,1)),1,"")</f>
        <v/>
      </c>
      <c r="AQ11" s="49">
        <f>IF(AND($C11&lt;=DATE(2026,10,14),$D11&gt;=DATE(2026,10,8)),1,"")</f>
        <v/>
      </c>
      <c r="AR11" s="49">
        <f>IF(AND($C11&lt;=DATE(2026,10,21),$D11&gt;=DATE(2026,10,15)),1,"")</f>
        <v/>
      </c>
      <c r="AS11" s="49">
        <f>IF(AND($C11&lt;=DATE(2026,10,31),$D11&gt;=DATE(2026,10,22)),1,"")</f>
        <v/>
      </c>
      <c r="AT11" s="49">
        <f>IF(AND($C11&lt;=DATE(2026,11,7),$D11&gt;=DATE(2026,11,1)),1,"")</f>
        <v/>
      </c>
      <c r="AU11" s="49">
        <f>IF(AND($C11&lt;=DATE(2026,11,14),$D11&gt;=DATE(2026,11,8)),1,"")</f>
        <v/>
      </c>
      <c r="AV11" s="49">
        <f>IF(AND($C11&lt;=DATE(2026,11,21),$D11&gt;=DATE(2026,11,15)),1,"")</f>
        <v/>
      </c>
      <c r="AW11" s="49">
        <f>IF(AND($C11&lt;=DATE(2026,11,30),$D11&gt;=DATE(2026,11,22)),1,"")</f>
        <v/>
      </c>
      <c r="AX11" s="49">
        <f>IF(AND($C11&lt;=DATE(2026,12,7),$D11&gt;=DATE(2026,12,1)),1,"")</f>
        <v/>
      </c>
      <c r="AY11" s="49">
        <f>IF(AND($C11&lt;=DATE(2026,12,14),$D11&gt;=DATE(2026,12,8)),1,"")</f>
        <v/>
      </c>
      <c r="AZ11" s="49">
        <f>IF(AND($C11&lt;=DATE(2026,12,21),$D11&gt;=DATE(2026,12,15)),1,"")</f>
        <v/>
      </c>
      <c r="BA11" s="49">
        <f>IF(AND($C11&lt;=DATE(2026,12,31),$D11&gt;=DATE(2026,12,22)),1,"")</f>
        <v/>
      </c>
    </row>
    <row r="12" ht="32" customHeight="1">
      <c r="A12" s="34" t="inlineStr">
        <is>
          <t>Phase 8: Sensor Data Collection and System Evaluation</t>
        </is>
      </c>
      <c r="B12" s="35" t="inlineStr">
        <is>
          <t>Pending</t>
        </is>
      </c>
      <c r="C12" s="47" t="n">
        <v>46296</v>
      </c>
      <c r="D12" s="47" t="n">
        <v>46356</v>
      </c>
      <c r="E12" s="48">
        <f>IF(OR(C12="",D12=""),"",D12-C12+1)</f>
        <v/>
      </c>
      <c r="F12" s="49">
        <f>IF(AND($C12&lt;=DATE(2026,1,7),$D12&gt;=DATE(2026,1,1)),1,"")</f>
        <v/>
      </c>
      <c r="G12" s="49">
        <f>IF(AND($C12&lt;=DATE(2026,1,14),$D12&gt;=DATE(2026,1,8)),1,"")</f>
        <v/>
      </c>
      <c r="H12" s="49">
        <f>IF(AND($C12&lt;=DATE(2026,1,21),$D12&gt;=DATE(2026,1,15)),1,"")</f>
        <v/>
      </c>
      <c r="I12" s="49">
        <f>IF(AND($C12&lt;=DATE(2026,1,31),$D12&gt;=DATE(2026,1,22)),1,"")</f>
        <v/>
      </c>
      <c r="J12" s="49">
        <f>IF(AND($C12&lt;=DATE(2026,2,7),$D12&gt;=DATE(2026,2,1)),1,"")</f>
        <v/>
      </c>
      <c r="K12" s="49">
        <f>IF(AND($C12&lt;=DATE(2026,2,14),$D12&gt;=DATE(2026,2,8)),1,"")</f>
        <v/>
      </c>
      <c r="L12" s="49">
        <f>IF(AND($C12&lt;=DATE(2026,2,21),$D12&gt;=DATE(2026,2,15)),1,"")</f>
        <v/>
      </c>
      <c r="M12" s="49">
        <f>IF(AND($C12&lt;=DATE(2026,2,28),$D12&gt;=DATE(2026,2,22)),1,"")</f>
        <v/>
      </c>
      <c r="N12" s="49">
        <f>IF(AND($C12&lt;=DATE(2026,3,7),$D12&gt;=DATE(2026,3,1)),1,"")</f>
        <v/>
      </c>
      <c r="O12" s="49">
        <f>IF(AND($C12&lt;=DATE(2026,3,14),$D12&gt;=DATE(2026,3,8)),1,"")</f>
        <v/>
      </c>
      <c r="P12" s="49">
        <f>IF(AND($C12&lt;=DATE(2026,3,21),$D12&gt;=DATE(2026,3,15)),1,"")</f>
        <v/>
      </c>
      <c r="Q12" s="49">
        <f>IF(AND($C12&lt;=DATE(2026,3,31),$D12&gt;=DATE(2026,3,22)),1,"")</f>
        <v/>
      </c>
      <c r="R12" s="49">
        <f>IF(AND($C12&lt;=DATE(2026,4,7),$D12&gt;=DATE(2026,4,1)),1,"")</f>
        <v/>
      </c>
      <c r="S12" s="49">
        <f>IF(AND($C12&lt;=DATE(2026,4,14),$D12&gt;=DATE(2026,4,8)),1,"")</f>
        <v/>
      </c>
      <c r="T12" s="49">
        <f>IF(AND($C12&lt;=DATE(2026,4,21),$D12&gt;=DATE(2026,4,15)),1,"")</f>
        <v/>
      </c>
      <c r="U12" s="49">
        <f>IF(AND($C12&lt;=DATE(2026,4,30),$D12&gt;=DATE(2026,4,22)),1,"")</f>
        <v/>
      </c>
      <c r="V12" s="49">
        <f>IF(AND($C12&lt;=DATE(2026,5,7),$D12&gt;=DATE(2026,5,1)),1,"")</f>
        <v/>
      </c>
      <c r="W12" s="49">
        <f>IF(AND($C12&lt;=DATE(2026,5,14),$D12&gt;=DATE(2026,5,8)),1,"")</f>
        <v/>
      </c>
      <c r="X12" s="49">
        <f>IF(AND($C12&lt;=DATE(2026,5,21),$D12&gt;=DATE(2026,5,15)),1,"")</f>
        <v/>
      </c>
      <c r="Y12" s="49">
        <f>IF(AND($C12&lt;=DATE(2026,5,31),$D12&gt;=DATE(2026,5,22)),1,"")</f>
        <v/>
      </c>
      <c r="Z12" s="49">
        <f>IF(AND($C12&lt;=DATE(2026,6,7),$D12&gt;=DATE(2026,6,1)),1,"")</f>
        <v/>
      </c>
      <c r="AA12" s="49">
        <f>IF(AND($C12&lt;=DATE(2026,6,14),$D12&gt;=DATE(2026,6,8)),1,"")</f>
        <v/>
      </c>
      <c r="AB12" s="49">
        <f>IF(AND($C12&lt;=DATE(2026,6,21),$D12&gt;=DATE(2026,6,15)),1,"")</f>
        <v/>
      </c>
      <c r="AC12" s="49">
        <f>IF(AND($C12&lt;=DATE(2026,6,30),$D12&gt;=DATE(2026,6,22)),1,"")</f>
        <v/>
      </c>
      <c r="AD12" s="49">
        <f>IF(AND($C12&lt;=DATE(2026,7,7),$D12&gt;=DATE(2026,7,1)),1,"")</f>
        <v/>
      </c>
      <c r="AE12" s="49">
        <f>IF(AND($C12&lt;=DATE(2026,7,14),$D12&gt;=DATE(2026,7,8)),1,"")</f>
        <v/>
      </c>
      <c r="AF12" s="49">
        <f>IF(AND($C12&lt;=DATE(2026,7,21),$D12&gt;=DATE(2026,7,15)),1,"")</f>
        <v/>
      </c>
      <c r="AG12" s="49">
        <f>IF(AND($C12&lt;=DATE(2026,7,31),$D12&gt;=DATE(2026,7,22)),1,"")</f>
        <v/>
      </c>
      <c r="AH12" s="49">
        <f>IF(AND($C12&lt;=DATE(2026,8,7),$D12&gt;=DATE(2026,8,1)),1,"")</f>
        <v/>
      </c>
      <c r="AI12" s="49">
        <f>IF(AND($C12&lt;=DATE(2026,8,14),$D12&gt;=DATE(2026,8,8)),1,"")</f>
        <v/>
      </c>
      <c r="AJ12" s="49">
        <f>IF(AND($C12&lt;=DATE(2026,8,21),$D12&gt;=DATE(2026,8,15)),1,"")</f>
        <v/>
      </c>
      <c r="AK12" s="49">
        <f>IF(AND($C12&lt;=DATE(2026,8,31),$D12&gt;=DATE(2026,8,22)),1,"")</f>
        <v/>
      </c>
      <c r="AL12" s="49">
        <f>IF(AND($C12&lt;=DATE(2026,9,7),$D12&gt;=DATE(2026,9,1)),1,"")</f>
        <v/>
      </c>
      <c r="AM12" s="49">
        <f>IF(AND($C12&lt;=DATE(2026,9,14),$D12&gt;=DATE(2026,9,8)),1,"")</f>
        <v/>
      </c>
      <c r="AN12" s="49">
        <f>IF(AND($C12&lt;=DATE(2026,9,21),$D12&gt;=DATE(2026,9,15)),1,"")</f>
        <v/>
      </c>
      <c r="AO12" s="49">
        <f>IF(AND($C12&lt;=DATE(2026,9,30),$D12&gt;=DATE(2026,9,22)),1,"")</f>
        <v/>
      </c>
      <c r="AP12" s="49">
        <f>IF(AND($C12&lt;=DATE(2026,10,7),$D12&gt;=DATE(2026,10,1)),1,"")</f>
        <v/>
      </c>
      <c r="AQ12" s="49">
        <f>IF(AND($C12&lt;=DATE(2026,10,14),$D12&gt;=DATE(2026,10,8)),1,"")</f>
        <v/>
      </c>
      <c r="AR12" s="49">
        <f>IF(AND($C12&lt;=DATE(2026,10,21),$D12&gt;=DATE(2026,10,15)),1,"")</f>
        <v/>
      </c>
      <c r="AS12" s="49">
        <f>IF(AND($C12&lt;=DATE(2026,10,31),$D12&gt;=DATE(2026,10,22)),1,"")</f>
        <v/>
      </c>
      <c r="AT12" s="49">
        <f>IF(AND($C12&lt;=DATE(2026,11,7),$D12&gt;=DATE(2026,11,1)),1,"")</f>
        <v/>
      </c>
      <c r="AU12" s="49">
        <f>IF(AND($C12&lt;=DATE(2026,11,14),$D12&gt;=DATE(2026,11,8)),1,"")</f>
        <v/>
      </c>
      <c r="AV12" s="49">
        <f>IF(AND($C12&lt;=DATE(2026,11,21),$D12&gt;=DATE(2026,11,15)),1,"")</f>
        <v/>
      </c>
      <c r="AW12" s="49">
        <f>IF(AND($C12&lt;=DATE(2026,11,30),$D12&gt;=DATE(2026,11,22)),1,"")</f>
        <v/>
      </c>
      <c r="AX12" s="49">
        <f>IF(AND($C12&lt;=DATE(2026,12,7),$D12&gt;=DATE(2026,12,1)),1,"")</f>
        <v/>
      </c>
      <c r="AY12" s="49">
        <f>IF(AND($C12&lt;=DATE(2026,12,14),$D12&gt;=DATE(2026,12,8)),1,"")</f>
        <v/>
      </c>
      <c r="AZ12" s="49">
        <f>IF(AND($C12&lt;=DATE(2026,12,21),$D12&gt;=DATE(2026,12,15)),1,"")</f>
        <v/>
      </c>
      <c r="BA12" s="49">
        <f>IF(AND($C12&lt;=DATE(2026,12,31),$D12&gt;=DATE(2026,12,22)),1,"")</f>
        <v/>
      </c>
      <c r="BB12">
        <f>IF(AND($D12&lt;=DATE(2026,12,31),$E12&gt;=DATE(2026,12,22)),1,"")</f>
        <v/>
      </c>
    </row>
    <row r="13" ht="32" customHeight="1">
      <c r="A13" s="34" t="inlineStr">
        <is>
          <t>Phase 9: Data Analysis and Chapter 4 Development</t>
        </is>
      </c>
      <c r="B13" s="35" t="inlineStr">
        <is>
          <t>Pending</t>
        </is>
      </c>
      <c r="C13" s="47" t="n">
        <v>46296</v>
      </c>
      <c r="D13" s="47" t="n">
        <v>46363</v>
      </c>
      <c r="E13" s="48">
        <f>IF(OR(C13="",D13=""),"",D13-C13+1)</f>
        <v/>
      </c>
      <c r="F13" s="49">
        <f>IF(AND($C13&lt;=DATE(2026,1,7),$D13&gt;=DATE(2026,1,1)),1,"")</f>
        <v/>
      </c>
      <c r="G13" s="49">
        <f>IF(AND($C13&lt;=DATE(2026,1,14),$D13&gt;=DATE(2026,1,8)),1,"")</f>
        <v/>
      </c>
      <c r="H13" s="49">
        <f>IF(AND($C13&lt;=DATE(2026,1,21),$D13&gt;=DATE(2026,1,15)),1,"")</f>
        <v/>
      </c>
      <c r="I13" s="49">
        <f>IF(AND($C13&lt;=DATE(2026,1,31),$D13&gt;=DATE(2026,1,22)),1,"")</f>
        <v/>
      </c>
      <c r="J13" s="49">
        <f>IF(AND($C13&lt;=DATE(2026,2,7),$D13&gt;=DATE(2026,2,1)),1,"")</f>
        <v/>
      </c>
      <c r="K13" s="49">
        <f>IF(AND($C13&lt;=DATE(2026,2,14),$D13&gt;=DATE(2026,2,8)),1,"")</f>
        <v/>
      </c>
      <c r="L13" s="49">
        <f>IF(AND($C13&lt;=DATE(2026,2,21),$D13&gt;=DATE(2026,2,15)),1,"")</f>
        <v/>
      </c>
      <c r="M13" s="49">
        <f>IF(AND($C13&lt;=DATE(2026,2,28),$D13&gt;=DATE(2026,2,22)),1,"")</f>
        <v/>
      </c>
      <c r="N13" s="49">
        <f>IF(AND($C13&lt;=DATE(2026,3,7),$D13&gt;=DATE(2026,3,1)),1,"")</f>
        <v/>
      </c>
      <c r="O13" s="49">
        <f>IF(AND($C13&lt;=DATE(2026,3,14),$D13&gt;=DATE(2026,3,8)),1,"")</f>
        <v/>
      </c>
      <c r="P13" s="49">
        <f>IF(AND($C13&lt;=DATE(2026,3,21),$D13&gt;=DATE(2026,3,15)),1,"")</f>
        <v/>
      </c>
      <c r="Q13" s="49">
        <f>IF(AND($C13&lt;=DATE(2026,3,31),$D13&gt;=DATE(2026,3,22)),1,"")</f>
        <v/>
      </c>
      <c r="R13" s="49">
        <f>IF(AND($C13&lt;=DATE(2026,4,7),$D13&gt;=DATE(2026,4,1)),1,"")</f>
        <v/>
      </c>
      <c r="S13" s="49">
        <f>IF(AND($C13&lt;=DATE(2026,4,14),$D13&gt;=DATE(2026,4,8)),1,"")</f>
        <v/>
      </c>
      <c r="T13" s="49">
        <f>IF(AND($C13&lt;=DATE(2026,4,21),$D13&gt;=DATE(2026,4,15)),1,"")</f>
        <v/>
      </c>
      <c r="U13" s="49">
        <f>IF(AND($C13&lt;=DATE(2026,4,30),$D13&gt;=DATE(2026,4,22)),1,"")</f>
        <v/>
      </c>
      <c r="V13" s="49">
        <f>IF(AND($C13&lt;=DATE(2026,5,7),$D13&gt;=DATE(2026,5,1)),1,"")</f>
        <v/>
      </c>
      <c r="W13" s="49">
        <f>IF(AND($C13&lt;=DATE(2026,5,14),$D13&gt;=DATE(2026,5,8)),1,"")</f>
        <v/>
      </c>
      <c r="X13" s="49">
        <f>IF(AND($C13&lt;=DATE(2026,5,21),$D13&gt;=DATE(2026,5,15)),1,"")</f>
        <v/>
      </c>
      <c r="Y13" s="49">
        <f>IF(AND($C13&lt;=DATE(2026,5,31),$D13&gt;=DATE(2026,5,22)),1,"")</f>
        <v/>
      </c>
      <c r="Z13" s="49">
        <f>IF(AND($C13&lt;=DATE(2026,6,7),$D13&gt;=DATE(2026,6,1)),1,"")</f>
        <v/>
      </c>
      <c r="AA13" s="49">
        <f>IF(AND($C13&lt;=DATE(2026,6,14),$D13&gt;=DATE(2026,6,8)),1,"")</f>
        <v/>
      </c>
      <c r="AB13" s="49">
        <f>IF(AND($C13&lt;=DATE(2026,6,21),$D13&gt;=DATE(2026,6,15)),1,"")</f>
        <v/>
      </c>
      <c r="AC13" s="49">
        <f>IF(AND($C13&lt;=DATE(2026,6,30),$D13&gt;=DATE(2026,6,22)),1,"")</f>
        <v/>
      </c>
      <c r="AD13" s="49">
        <f>IF(AND($C13&lt;=DATE(2026,7,7),$D13&gt;=DATE(2026,7,1)),1,"")</f>
        <v/>
      </c>
      <c r="AE13" s="49">
        <f>IF(AND($C13&lt;=DATE(2026,7,14),$D13&gt;=DATE(2026,7,8)),1,"")</f>
        <v/>
      </c>
      <c r="AF13" s="49">
        <f>IF(AND($C13&lt;=DATE(2026,7,21),$D13&gt;=DATE(2026,7,15)),1,"")</f>
        <v/>
      </c>
      <c r="AG13" s="49">
        <f>IF(AND($C13&lt;=DATE(2026,7,31),$D13&gt;=DATE(2026,7,22)),1,"")</f>
        <v/>
      </c>
      <c r="AH13" s="49">
        <f>IF(AND($C13&lt;=DATE(2026,8,7),$D13&gt;=DATE(2026,8,1)),1,"")</f>
        <v/>
      </c>
      <c r="AI13" s="49">
        <f>IF(AND($C13&lt;=DATE(2026,8,14),$D13&gt;=DATE(2026,8,8)),1,"")</f>
        <v/>
      </c>
      <c r="AJ13" s="49">
        <f>IF(AND($C13&lt;=DATE(2026,8,21),$D13&gt;=DATE(2026,8,15)),1,"")</f>
        <v/>
      </c>
      <c r="AK13" s="49">
        <f>IF(AND($C13&lt;=DATE(2026,8,31),$D13&gt;=DATE(2026,8,22)),1,"")</f>
        <v/>
      </c>
      <c r="AL13" s="49">
        <f>IF(AND($C13&lt;=DATE(2026,9,7),$D13&gt;=DATE(2026,9,1)),1,"")</f>
        <v/>
      </c>
      <c r="AM13" s="49">
        <f>IF(AND($C13&lt;=DATE(2026,9,14),$D13&gt;=DATE(2026,9,8)),1,"")</f>
        <v/>
      </c>
      <c r="AN13" s="49">
        <f>IF(AND($C13&lt;=DATE(2026,9,21),$D13&gt;=DATE(2026,9,15)),1,"")</f>
        <v/>
      </c>
      <c r="AO13" s="49">
        <f>IF(AND($C13&lt;=DATE(2026,9,30),$D13&gt;=DATE(2026,9,22)),1,"")</f>
        <v/>
      </c>
      <c r="AP13" s="49">
        <f>IF(AND($C13&lt;=DATE(2026,10,7),$D13&gt;=DATE(2026,10,1)),1,"")</f>
        <v/>
      </c>
      <c r="AQ13" s="49">
        <f>IF(AND($C13&lt;=DATE(2026,10,14),$D13&gt;=DATE(2026,10,8)),1,"")</f>
        <v/>
      </c>
      <c r="AR13" s="49">
        <f>IF(AND($C13&lt;=DATE(2026,10,21),$D13&gt;=DATE(2026,10,15)),1,"")</f>
        <v/>
      </c>
      <c r="AS13" s="49">
        <f>IF(AND($C13&lt;=DATE(2026,10,31),$D13&gt;=DATE(2026,10,22)),1,"")</f>
        <v/>
      </c>
      <c r="AT13" s="49">
        <f>IF(AND($C13&lt;=DATE(2026,11,7),$D13&gt;=DATE(2026,11,1)),1,"")</f>
        <v/>
      </c>
      <c r="AU13" s="49">
        <f>IF(AND($C13&lt;=DATE(2026,11,14),$D13&gt;=DATE(2026,11,8)),1,"")</f>
        <v/>
      </c>
      <c r="AV13" s="49">
        <f>IF(AND($C13&lt;=DATE(2026,11,21),$D13&gt;=DATE(2026,11,15)),1,"")</f>
        <v/>
      </c>
      <c r="AW13" s="49">
        <f>IF(AND($C13&lt;=DATE(2026,11,30),$D13&gt;=DATE(2026,11,22)),1,"")</f>
        <v/>
      </c>
      <c r="AX13" s="49">
        <f>IF(AND($C13&lt;=DATE(2026,12,7),$D13&gt;=DATE(2026,12,1)),1,"")</f>
        <v/>
      </c>
      <c r="AY13" s="49">
        <f>IF(AND($C13&lt;=DATE(2026,12,14),$D13&gt;=DATE(2026,12,8)),1,"")</f>
        <v/>
      </c>
      <c r="AZ13" s="49">
        <f>IF(AND($C13&lt;=DATE(2026,12,21),$D13&gt;=DATE(2026,12,15)),1,"")</f>
        <v/>
      </c>
      <c r="BA13" s="49">
        <f>IF(AND($C13&lt;=DATE(2026,12,31),$D13&gt;=DATE(2026,12,22)),1,"")</f>
        <v/>
      </c>
      <c r="BB13">
        <f>IF(AND($D13&lt;=DATE(2026,12,31),$E13&gt;=DATE(2026,12,22)),1,"")</f>
        <v/>
      </c>
    </row>
    <row r="14" ht="32" customHeight="1">
      <c r="A14" s="34" t="inlineStr">
        <is>
          <t>Phase 10: Chapter 5 and Final Deliverables</t>
        </is>
      </c>
      <c r="B14" s="35" t="inlineStr">
        <is>
          <t>Pending</t>
        </is>
      </c>
      <c r="C14" s="47" t="n">
        <v>46356</v>
      </c>
      <c r="D14" s="47" t="n">
        <v>46387</v>
      </c>
      <c r="E14" s="48">
        <f>IF(OR(C14="",D14=""),"",D14-C14+1)</f>
        <v/>
      </c>
      <c r="F14" s="49">
        <f>IF(AND($C14&lt;=DATE(2026,1,7),$D14&gt;=DATE(2026,1,1)),1,"")</f>
        <v/>
      </c>
      <c r="G14" s="49">
        <f>IF(AND($C14&lt;=DATE(2026,1,14),$D14&gt;=DATE(2026,1,8)),1,"")</f>
        <v/>
      </c>
      <c r="H14" s="49">
        <f>IF(AND($C14&lt;=DATE(2026,1,21),$D14&gt;=DATE(2026,1,15)),1,"")</f>
        <v/>
      </c>
      <c r="I14" s="49">
        <f>IF(AND($C14&lt;=DATE(2026,1,31),$D14&gt;=DATE(2026,1,22)),1,"")</f>
        <v/>
      </c>
      <c r="J14" s="49">
        <f>IF(AND($C14&lt;=DATE(2026,2,7),$D14&gt;=DATE(2026,2,1)),1,"")</f>
        <v/>
      </c>
      <c r="K14" s="49">
        <f>IF(AND($C14&lt;=DATE(2026,2,14),$D14&gt;=DATE(2026,2,8)),1,"")</f>
        <v/>
      </c>
      <c r="L14" s="49">
        <f>IF(AND($C14&lt;=DATE(2026,2,21),$D14&gt;=DATE(2026,2,15)),1,"")</f>
        <v/>
      </c>
      <c r="M14" s="49">
        <f>IF(AND($C14&lt;=DATE(2026,2,28),$D14&gt;=DATE(2026,2,22)),1,"")</f>
        <v/>
      </c>
      <c r="N14" s="49">
        <f>IF(AND($C14&lt;=DATE(2026,3,7),$D14&gt;=DATE(2026,3,1)),1,"")</f>
        <v/>
      </c>
      <c r="O14" s="49">
        <f>IF(AND($C14&lt;=DATE(2026,3,14),$D14&gt;=DATE(2026,3,8)),1,"")</f>
        <v/>
      </c>
      <c r="P14" s="49">
        <f>IF(AND($C14&lt;=DATE(2026,3,21),$D14&gt;=DATE(2026,3,15)),1,"")</f>
        <v/>
      </c>
      <c r="Q14" s="49">
        <f>IF(AND($C14&lt;=DATE(2026,3,31),$D14&gt;=DATE(2026,3,22)),1,"")</f>
        <v/>
      </c>
      <c r="R14" s="49">
        <f>IF(AND($C14&lt;=DATE(2026,4,7),$D14&gt;=DATE(2026,4,1)),1,"")</f>
        <v/>
      </c>
      <c r="S14" s="49">
        <f>IF(AND($C14&lt;=DATE(2026,4,14),$D14&gt;=DATE(2026,4,8)),1,"")</f>
        <v/>
      </c>
      <c r="T14" s="49">
        <f>IF(AND($C14&lt;=DATE(2026,4,21),$D14&gt;=DATE(2026,4,15)),1,"")</f>
        <v/>
      </c>
      <c r="U14" s="49">
        <f>IF(AND($C14&lt;=DATE(2026,4,30),$D14&gt;=DATE(2026,4,22)),1,"")</f>
        <v/>
      </c>
      <c r="V14" s="49">
        <f>IF(AND($C14&lt;=DATE(2026,5,7),$D14&gt;=DATE(2026,5,1)),1,"")</f>
        <v/>
      </c>
      <c r="W14" s="49">
        <f>IF(AND($C14&lt;=DATE(2026,5,14),$D14&gt;=DATE(2026,5,8)),1,"")</f>
        <v/>
      </c>
      <c r="X14" s="49">
        <f>IF(AND($C14&lt;=DATE(2026,5,21),$D14&gt;=DATE(2026,5,15)),1,"")</f>
        <v/>
      </c>
      <c r="Y14" s="49">
        <f>IF(AND($C14&lt;=DATE(2026,5,31),$D14&gt;=DATE(2026,5,22)),1,"")</f>
        <v/>
      </c>
      <c r="Z14" s="49">
        <f>IF(AND($C14&lt;=DATE(2026,6,7),$D14&gt;=DATE(2026,6,1)),1,"")</f>
        <v/>
      </c>
      <c r="AA14" s="49">
        <f>IF(AND($C14&lt;=DATE(2026,6,14),$D14&gt;=DATE(2026,6,8)),1,"")</f>
        <v/>
      </c>
      <c r="AB14" s="49">
        <f>IF(AND($C14&lt;=DATE(2026,6,21),$D14&gt;=DATE(2026,6,15)),1,"")</f>
        <v/>
      </c>
      <c r="AC14" s="49">
        <f>IF(AND($C14&lt;=DATE(2026,6,30),$D14&gt;=DATE(2026,6,22)),1,"")</f>
        <v/>
      </c>
      <c r="AD14" s="49">
        <f>IF(AND($C14&lt;=DATE(2026,7,7),$D14&gt;=DATE(2026,7,1)),1,"")</f>
        <v/>
      </c>
      <c r="AE14" s="49">
        <f>IF(AND($C14&lt;=DATE(2026,7,14),$D14&gt;=DATE(2026,7,8)),1,"")</f>
        <v/>
      </c>
      <c r="AF14" s="49">
        <f>IF(AND($C14&lt;=DATE(2026,7,21),$D14&gt;=DATE(2026,7,15)),1,"")</f>
        <v/>
      </c>
      <c r="AG14" s="49">
        <f>IF(AND($C14&lt;=DATE(2026,7,31),$D14&gt;=DATE(2026,7,22)),1,"")</f>
        <v/>
      </c>
      <c r="AH14" s="49">
        <f>IF(AND($C14&lt;=DATE(2026,8,7),$D14&gt;=DATE(2026,8,1)),1,"")</f>
        <v/>
      </c>
      <c r="AI14" s="49">
        <f>IF(AND($C14&lt;=DATE(2026,8,14),$D14&gt;=DATE(2026,8,8)),1,"")</f>
        <v/>
      </c>
      <c r="AJ14" s="49">
        <f>IF(AND($C14&lt;=DATE(2026,8,21),$D14&gt;=DATE(2026,8,15)),1,"")</f>
        <v/>
      </c>
      <c r="AK14" s="49">
        <f>IF(AND($C14&lt;=DATE(2026,8,31),$D14&gt;=DATE(2026,8,22)),1,"")</f>
        <v/>
      </c>
      <c r="AL14" s="49">
        <f>IF(AND($C14&lt;=DATE(2026,9,7),$D14&gt;=DATE(2026,9,1)),1,"")</f>
        <v/>
      </c>
      <c r="AM14" s="49">
        <f>IF(AND($C14&lt;=DATE(2026,9,14),$D14&gt;=DATE(2026,9,8)),1,"")</f>
        <v/>
      </c>
      <c r="AN14" s="49">
        <f>IF(AND($C14&lt;=DATE(2026,9,21),$D14&gt;=DATE(2026,9,15)),1,"")</f>
        <v/>
      </c>
      <c r="AO14" s="49">
        <f>IF(AND($C14&lt;=DATE(2026,9,30),$D14&gt;=DATE(2026,9,22)),1,"")</f>
        <v/>
      </c>
      <c r="AP14" s="49">
        <f>IF(AND($C14&lt;=DATE(2026,10,7),$D14&gt;=DATE(2026,10,1)),1,"")</f>
        <v/>
      </c>
      <c r="AQ14" s="49">
        <f>IF(AND($C14&lt;=DATE(2026,10,14),$D14&gt;=DATE(2026,10,8)),1,"")</f>
        <v/>
      </c>
      <c r="AR14" s="49">
        <f>IF(AND($C14&lt;=DATE(2026,10,21),$D14&gt;=DATE(2026,10,15)),1,"")</f>
        <v/>
      </c>
      <c r="AS14" s="49">
        <f>IF(AND($C14&lt;=DATE(2026,10,31),$D14&gt;=DATE(2026,10,22)),1,"")</f>
        <v/>
      </c>
      <c r="AT14" s="49">
        <f>IF(AND($C14&lt;=DATE(2026,11,7),$D14&gt;=DATE(2026,11,1)),1,"")</f>
        <v/>
      </c>
      <c r="AU14" s="49">
        <f>IF(AND($C14&lt;=DATE(2026,11,14),$D14&gt;=DATE(2026,11,8)),1,"")</f>
        <v/>
      </c>
      <c r="AV14" s="49">
        <f>IF(AND($C14&lt;=DATE(2026,11,21),$D14&gt;=DATE(2026,11,15)),1,"")</f>
        <v/>
      </c>
      <c r="AW14" s="49">
        <f>IF(AND($C14&lt;=DATE(2026,11,30),$D14&gt;=DATE(2026,11,22)),1,"")</f>
        <v/>
      </c>
      <c r="AX14" s="49">
        <f>IF(AND($C14&lt;=DATE(2026,12,7),$D14&gt;=DATE(2026,12,1)),1,"")</f>
        <v/>
      </c>
      <c r="AY14" s="49">
        <f>IF(AND($C14&lt;=DATE(2026,12,14),$D14&gt;=DATE(2026,12,8)),1,"")</f>
        <v/>
      </c>
      <c r="AZ14" s="49">
        <f>IF(AND($C14&lt;=DATE(2026,12,21),$D14&gt;=DATE(2026,12,15)),1,"")</f>
        <v/>
      </c>
      <c r="BA14" s="49">
        <f>IF(AND($C14&lt;=DATE(2026,12,31),$D14&gt;=DATE(2026,12,22)),1,"")</f>
        <v/>
      </c>
      <c r="BB14">
        <f>IF(AND($D14&lt;=DATE(2026,12,31),$E14&gt;=DATE(2026,12,22)),1,"")</f>
        <v/>
      </c>
    </row>
    <row r="15" ht="15" customHeight="1">
      <c r="F15">
        <f>IF(AND($C15&lt;=DATE(2026,1,7),$D15&gt;=DATE(2026,1,1)),1,"")</f>
        <v/>
      </c>
      <c r="G15">
        <f>IF(AND($C15&lt;=DATE(2026,1,14),$D15&gt;=DATE(2026,1,8)),1,"")</f>
        <v/>
      </c>
      <c r="H15">
        <f>IF(AND($C15&lt;=DATE(2026,1,21),$D15&gt;=DATE(2026,1,15)),1,"")</f>
        <v/>
      </c>
      <c r="I15">
        <f>IF(AND($C15&lt;=DATE(2026,1,31),$D15&gt;=DATE(2026,1,22)),1,"")</f>
        <v/>
      </c>
      <c r="J15">
        <f>IF(AND($C15&lt;=DATE(2026,2,7),$D15&gt;=DATE(2026,2,1)),1,"")</f>
        <v/>
      </c>
      <c r="K15">
        <f>IF(AND($C15&lt;=DATE(2026,2,14),$D15&gt;=DATE(2026,2,8)),1,"")</f>
        <v/>
      </c>
      <c r="L15">
        <f>IF(AND($C15&lt;=DATE(2026,2,21),$D15&gt;=DATE(2026,2,15)),1,"")</f>
        <v/>
      </c>
      <c r="M15">
        <f>IF(AND($C15&lt;=DATE(2026,2,28),$D15&gt;=DATE(2026,2,22)),1,"")</f>
        <v/>
      </c>
      <c r="N15">
        <f>IF(AND($C15&lt;=DATE(2026,3,7),$D15&gt;=DATE(2026,3,1)),1,"")</f>
        <v/>
      </c>
      <c r="O15">
        <f>IF(AND($C15&lt;=DATE(2026,3,14),$D15&gt;=DATE(2026,3,8)),1,"")</f>
        <v/>
      </c>
      <c r="P15">
        <f>IF(AND($C15&lt;=DATE(2026,3,21),$D15&gt;=DATE(2026,3,15)),1,"")</f>
        <v/>
      </c>
      <c r="Q15">
        <f>IF(AND($C15&lt;=DATE(2026,3,31),$D15&gt;=DATE(2026,3,22)),1,"")</f>
        <v/>
      </c>
      <c r="R15">
        <f>IF(AND($C15&lt;=DATE(2026,4,7),$D15&gt;=DATE(2026,4,1)),1,"")</f>
        <v/>
      </c>
      <c r="S15">
        <f>IF(AND($C15&lt;=DATE(2026,4,14),$D15&gt;=DATE(2026,4,8)),1,"")</f>
        <v/>
      </c>
      <c r="T15">
        <f>IF(AND($C15&lt;=DATE(2026,4,21),$D15&gt;=DATE(2026,4,15)),1,"")</f>
        <v/>
      </c>
      <c r="U15">
        <f>IF(AND($C15&lt;=DATE(2026,4,30),$D15&gt;=DATE(2026,4,22)),1,"")</f>
        <v/>
      </c>
      <c r="V15">
        <f>IF(AND($C15&lt;=DATE(2026,5,7),$D15&gt;=DATE(2026,5,1)),1,"")</f>
        <v/>
      </c>
      <c r="W15">
        <f>IF(AND($C15&lt;=DATE(2026,5,14),$D15&gt;=DATE(2026,5,8)),1,"")</f>
        <v/>
      </c>
      <c r="X15">
        <f>IF(AND($C15&lt;=DATE(2026,5,21),$D15&gt;=DATE(2026,5,15)),1,"")</f>
        <v/>
      </c>
      <c r="Y15">
        <f>IF(AND($C15&lt;=DATE(2026,5,31),$D15&gt;=DATE(2026,5,22)),1,"")</f>
        <v/>
      </c>
      <c r="Z15">
        <f>IF(AND($C15&lt;=DATE(2026,6,7),$D15&gt;=DATE(2026,6,1)),1,"")</f>
        <v/>
      </c>
      <c r="AA15">
        <f>IF(AND($C15&lt;=DATE(2026,6,14),$D15&gt;=DATE(2026,6,8)),1,"")</f>
        <v/>
      </c>
      <c r="AB15">
        <f>IF(AND($C15&lt;=DATE(2026,6,21),$D15&gt;=DATE(2026,6,15)),1,"")</f>
        <v/>
      </c>
      <c r="AC15">
        <f>IF(AND($C15&lt;=DATE(2026,6,30),$D15&gt;=DATE(2026,6,22)),1,"")</f>
        <v/>
      </c>
      <c r="AD15">
        <f>IF(AND($C15&lt;=DATE(2026,7,7),$D15&gt;=DATE(2026,7,1)),1,"")</f>
        <v/>
      </c>
      <c r="AE15">
        <f>IF(AND($C15&lt;=DATE(2026,7,14),$D15&gt;=DATE(2026,7,8)),1,"")</f>
        <v/>
      </c>
      <c r="AF15">
        <f>IF(AND($C15&lt;=DATE(2026,7,21),$D15&gt;=DATE(2026,7,15)),1,"")</f>
        <v/>
      </c>
      <c r="AG15">
        <f>IF(AND($C15&lt;=DATE(2026,7,31),$D15&gt;=DATE(2026,7,22)),1,"")</f>
        <v/>
      </c>
      <c r="AH15">
        <f>IF(AND($C15&lt;=DATE(2026,8,7),$D15&gt;=DATE(2026,8,1)),1,"")</f>
        <v/>
      </c>
      <c r="AI15">
        <f>IF(AND($C15&lt;=DATE(2026,8,14),$D15&gt;=DATE(2026,8,8)),1,"")</f>
        <v/>
      </c>
      <c r="AJ15">
        <f>IF(AND($C15&lt;=DATE(2026,8,21),$D15&gt;=DATE(2026,8,15)),1,"")</f>
        <v/>
      </c>
      <c r="AK15">
        <f>IF(AND($C15&lt;=DATE(2026,8,31),$D15&gt;=DATE(2026,8,22)),1,"")</f>
        <v/>
      </c>
      <c r="AL15">
        <f>IF(AND($C15&lt;=DATE(2026,9,7),$D15&gt;=DATE(2026,9,1)),1,"")</f>
        <v/>
      </c>
      <c r="AM15">
        <f>IF(AND($C15&lt;=DATE(2026,9,14),$D15&gt;=DATE(2026,9,8)),1,"")</f>
        <v/>
      </c>
      <c r="AN15">
        <f>IF(AND($C15&lt;=DATE(2026,9,21),$D15&gt;=DATE(2026,9,15)),1,"")</f>
        <v/>
      </c>
      <c r="AO15">
        <f>IF(AND($C15&lt;=DATE(2026,9,30),$D15&gt;=DATE(2026,9,22)),1,"")</f>
        <v/>
      </c>
      <c r="AP15">
        <f>IF(AND($C15&lt;=DATE(2026,10,7),$D15&gt;=DATE(2026,10,1)),1,"")</f>
        <v/>
      </c>
      <c r="AQ15">
        <f>IF(AND($C15&lt;=DATE(2026,10,14),$D15&gt;=DATE(2026,10,8)),1,"")</f>
        <v/>
      </c>
      <c r="AR15">
        <f>IF(AND($C15&lt;=DATE(2026,10,21),$D15&gt;=DATE(2026,10,15)),1,"")</f>
        <v/>
      </c>
      <c r="AS15">
        <f>IF(AND($C15&lt;=DATE(2026,10,31),$D15&gt;=DATE(2026,10,22)),1,"")</f>
        <v/>
      </c>
      <c r="AT15">
        <f>IF(AND($C15&lt;=DATE(2026,11,7),$D15&gt;=DATE(2026,11,1)),1,"")</f>
        <v/>
      </c>
      <c r="AU15">
        <f>IF(AND($C15&lt;=DATE(2026,11,14),$D15&gt;=DATE(2026,11,8)),1,"")</f>
        <v/>
      </c>
      <c r="AV15">
        <f>IF(AND($C15&lt;=DATE(2026,11,21),$D15&gt;=DATE(2026,11,15)),1,"")</f>
        <v/>
      </c>
      <c r="AW15">
        <f>IF(AND($C15&lt;=DATE(2026,11,30),$D15&gt;=DATE(2026,11,22)),1,"")</f>
        <v/>
      </c>
      <c r="AX15">
        <f>IF(AND($C15&lt;=DATE(2026,12,7),$D15&gt;=DATE(2026,12,1)),1,"")</f>
        <v/>
      </c>
      <c r="AY15">
        <f>IF(AND($C15&lt;=DATE(2026,12,14),$D15&gt;=DATE(2026,12,8)),1,"")</f>
        <v/>
      </c>
      <c r="AZ15">
        <f>IF(AND($C15&lt;=DATE(2026,12,21),$D15&gt;=DATE(2026,12,15)),1,"")</f>
        <v/>
      </c>
      <c r="BA15">
        <f>IF(AND($C15&lt;=DATE(2026,12,31),$D15&gt;=DATE(2026,12,22)),1,"")</f>
        <v/>
      </c>
      <c r="BB15">
        <f>IF(AND($D15&lt;=DATE(2026,12,31),$E15&gt;=DATE(2026,12,22)),1,"")</f>
        <v/>
      </c>
    </row>
    <row r="16" ht="15" customHeight="1">
      <c r="F16">
        <f>IF(AND($C16&lt;=DATE(2026,1,7),$D16&gt;=DATE(2026,1,1)),1,"")</f>
        <v/>
      </c>
      <c r="G16">
        <f>IF(AND($C16&lt;=DATE(2026,1,14),$D16&gt;=DATE(2026,1,8)),1,"")</f>
        <v/>
      </c>
      <c r="H16">
        <f>IF(AND($C16&lt;=DATE(2026,1,21),$D16&gt;=DATE(2026,1,15)),1,"")</f>
        <v/>
      </c>
      <c r="I16">
        <f>IF(AND($C16&lt;=DATE(2026,1,31),$D16&gt;=DATE(2026,1,22)),1,"")</f>
        <v/>
      </c>
      <c r="J16">
        <f>IF(AND($C16&lt;=DATE(2026,2,7),$D16&gt;=DATE(2026,2,1)),1,"")</f>
        <v/>
      </c>
      <c r="K16">
        <f>IF(AND($C16&lt;=DATE(2026,2,14),$D16&gt;=DATE(2026,2,8)),1,"")</f>
        <v/>
      </c>
      <c r="L16">
        <f>IF(AND($C16&lt;=DATE(2026,2,21),$D16&gt;=DATE(2026,2,15)),1,"")</f>
        <v/>
      </c>
      <c r="M16">
        <f>IF(AND($C16&lt;=DATE(2026,2,28),$D16&gt;=DATE(2026,2,22)),1,"")</f>
        <v/>
      </c>
      <c r="N16">
        <f>IF(AND($C16&lt;=DATE(2026,3,7),$D16&gt;=DATE(2026,3,1)),1,"")</f>
        <v/>
      </c>
      <c r="O16">
        <f>IF(AND($C16&lt;=DATE(2026,3,14),$D16&gt;=DATE(2026,3,8)),1,"")</f>
        <v/>
      </c>
      <c r="P16">
        <f>IF(AND($C16&lt;=DATE(2026,3,21),$D16&gt;=DATE(2026,3,15)),1,"")</f>
        <v/>
      </c>
      <c r="Q16">
        <f>IF(AND($C16&lt;=DATE(2026,3,31),$D16&gt;=DATE(2026,3,22)),1,"")</f>
        <v/>
      </c>
      <c r="R16">
        <f>IF(AND($C16&lt;=DATE(2026,4,7),$D16&gt;=DATE(2026,4,1)),1,"")</f>
        <v/>
      </c>
      <c r="S16">
        <f>IF(AND($C16&lt;=DATE(2026,4,14),$D16&gt;=DATE(2026,4,8)),1,"")</f>
        <v/>
      </c>
      <c r="T16">
        <f>IF(AND($C16&lt;=DATE(2026,4,21),$D16&gt;=DATE(2026,4,15)),1,"")</f>
        <v/>
      </c>
      <c r="U16">
        <f>IF(AND($C16&lt;=DATE(2026,4,30),$D16&gt;=DATE(2026,4,22)),1,"")</f>
        <v/>
      </c>
      <c r="V16">
        <f>IF(AND($C16&lt;=DATE(2026,5,7),$D16&gt;=DATE(2026,5,1)),1,"")</f>
        <v/>
      </c>
      <c r="W16">
        <f>IF(AND($C16&lt;=DATE(2026,5,14),$D16&gt;=DATE(2026,5,8)),1,"")</f>
        <v/>
      </c>
      <c r="X16">
        <f>IF(AND($C16&lt;=DATE(2026,5,21),$D16&gt;=DATE(2026,5,15)),1,"")</f>
        <v/>
      </c>
      <c r="Y16">
        <f>IF(AND($C16&lt;=DATE(2026,5,31),$D16&gt;=DATE(2026,5,22)),1,"")</f>
        <v/>
      </c>
      <c r="Z16">
        <f>IF(AND($C16&lt;=DATE(2026,6,7),$D16&gt;=DATE(2026,6,1)),1,"")</f>
        <v/>
      </c>
      <c r="AA16">
        <f>IF(AND($C16&lt;=DATE(2026,6,14),$D16&gt;=DATE(2026,6,8)),1,"")</f>
        <v/>
      </c>
      <c r="AB16">
        <f>IF(AND($C16&lt;=DATE(2026,6,21),$D16&gt;=DATE(2026,6,15)),1,"")</f>
        <v/>
      </c>
      <c r="AC16">
        <f>IF(AND($C16&lt;=DATE(2026,6,30),$D16&gt;=DATE(2026,6,22)),1,"")</f>
        <v/>
      </c>
      <c r="AD16">
        <f>IF(AND($C16&lt;=DATE(2026,7,7),$D16&gt;=DATE(2026,7,1)),1,"")</f>
        <v/>
      </c>
      <c r="AE16">
        <f>IF(AND($C16&lt;=DATE(2026,7,14),$D16&gt;=DATE(2026,7,8)),1,"")</f>
        <v/>
      </c>
      <c r="AF16">
        <f>IF(AND($C16&lt;=DATE(2026,7,21),$D16&gt;=DATE(2026,7,15)),1,"")</f>
        <v/>
      </c>
      <c r="AG16">
        <f>IF(AND($C16&lt;=DATE(2026,7,31),$D16&gt;=DATE(2026,7,22)),1,"")</f>
        <v/>
      </c>
      <c r="AH16">
        <f>IF(AND($C16&lt;=DATE(2026,8,7),$D16&gt;=DATE(2026,8,1)),1,"")</f>
        <v/>
      </c>
      <c r="AI16">
        <f>IF(AND($C16&lt;=DATE(2026,8,14),$D16&gt;=DATE(2026,8,8)),1,"")</f>
        <v/>
      </c>
      <c r="AJ16">
        <f>IF(AND($C16&lt;=DATE(2026,8,21),$D16&gt;=DATE(2026,8,15)),1,"")</f>
        <v/>
      </c>
      <c r="AK16">
        <f>IF(AND($C16&lt;=DATE(2026,8,31),$D16&gt;=DATE(2026,8,22)),1,"")</f>
        <v/>
      </c>
      <c r="AL16">
        <f>IF(AND($C16&lt;=DATE(2026,9,7),$D16&gt;=DATE(2026,9,1)),1,"")</f>
        <v/>
      </c>
      <c r="AM16">
        <f>IF(AND($C16&lt;=DATE(2026,9,14),$D16&gt;=DATE(2026,9,8)),1,"")</f>
        <v/>
      </c>
      <c r="AN16">
        <f>IF(AND($C16&lt;=DATE(2026,9,21),$D16&gt;=DATE(2026,9,15)),1,"")</f>
        <v/>
      </c>
      <c r="AO16">
        <f>IF(AND($C16&lt;=DATE(2026,9,30),$D16&gt;=DATE(2026,9,22)),1,"")</f>
        <v/>
      </c>
      <c r="AP16">
        <f>IF(AND($C16&lt;=DATE(2026,10,7),$D16&gt;=DATE(2026,10,1)),1,"")</f>
        <v/>
      </c>
      <c r="AQ16">
        <f>IF(AND($C16&lt;=DATE(2026,10,14),$D16&gt;=DATE(2026,10,8)),1,"")</f>
        <v/>
      </c>
      <c r="AR16">
        <f>IF(AND($C16&lt;=DATE(2026,10,21),$D16&gt;=DATE(2026,10,15)),1,"")</f>
        <v/>
      </c>
      <c r="AS16">
        <f>IF(AND($C16&lt;=DATE(2026,10,31),$D16&gt;=DATE(2026,10,22)),1,"")</f>
        <v/>
      </c>
      <c r="AT16">
        <f>IF(AND($C16&lt;=DATE(2026,11,7),$D16&gt;=DATE(2026,11,1)),1,"")</f>
        <v/>
      </c>
      <c r="AU16">
        <f>IF(AND($C16&lt;=DATE(2026,11,14),$D16&gt;=DATE(2026,11,8)),1,"")</f>
        <v/>
      </c>
      <c r="AV16">
        <f>IF(AND($C16&lt;=DATE(2026,11,21),$D16&gt;=DATE(2026,11,15)),1,"")</f>
        <v/>
      </c>
      <c r="AW16">
        <f>IF(AND($C16&lt;=DATE(2026,11,30),$D16&gt;=DATE(2026,11,22)),1,"")</f>
        <v/>
      </c>
      <c r="AX16">
        <f>IF(AND($C16&lt;=DATE(2026,12,7),$D16&gt;=DATE(2026,12,1)),1,"")</f>
        <v/>
      </c>
      <c r="AY16">
        <f>IF(AND($C16&lt;=DATE(2026,12,14),$D16&gt;=DATE(2026,12,8)),1,"")</f>
        <v/>
      </c>
      <c r="AZ16">
        <f>IF(AND($C16&lt;=DATE(2026,12,21),$D16&gt;=DATE(2026,12,15)),1,"")</f>
        <v/>
      </c>
      <c r="BA16">
        <f>IF(AND($C16&lt;=DATE(2026,12,31),$D16&gt;=DATE(2026,12,22)),1,"")</f>
        <v/>
      </c>
      <c r="BB16">
        <f>IF(AND($D16&lt;=DATE(2026,12,31),$E16&gt;=DATE(2026,12,22)),1,"")</f>
        <v/>
      </c>
    </row>
    <row r="17" ht="15" customHeight="1">
      <c r="F17">
        <f>IF(AND($C17&lt;=DATE(2026,1,7),$D17&gt;=DATE(2026,1,1)),1,"")</f>
        <v/>
      </c>
      <c r="G17">
        <f>IF(AND($C17&lt;=DATE(2026,1,14),$D17&gt;=DATE(2026,1,8)),1,"")</f>
        <v/>
      </c>
      <c r="H17">
        <f>IF(AND($C17&lt;=DATE(2026,1,21),$D17&gt;=DATE(2026,1,15)),1,"")</f>
        <v/>
      </c>
      <c r="I17">
        <f>IF(AND($C17&lt;=DATE(2026,1,31),$D17&gt;=DATE(2026,1,22)),1,"")</f>
        <v/>
      </c>
      <c r="J17">
        <f>IF(AND($C17&lt;=DATE(2026,2,7),$D17&gt;=DATE(2026,2,1)),1,"")</f>
        <v/>
      </c>
      <c r="K17">
        <f>IF(AND($C17&lt;=DATE(2026,2,14),$D17&gt;=DATE(2026,2,8)),1,"")</f>
        <v/>
      </c>
      <c r="L17">
        <f>IF(AND($C17&lt;=DATE(2026,2,21),$D17&gt;=DATE(2026,2,15)),1,"")</f>
        <v/>
      </c>
      <c r="M17">
        <f>IF(AND($C17&lt;=DATE(2026,2,28),$D17&gt;=DATE(2026,2,22)),1,"")</f>
        <v/>
      </c>
      <c r="N17">
        <f>IF(AND($C17&lt;=DATE(2026,3,7),$D17&gt;=DATE(2026,3,1)),1,"")</f>
        <v/>
      </c>
      <c r="O17">
        <f>IF(AND($C17&lt;=DATE(2026,3,14),$D17&gt;=DATE(2026,3,8)),1,"")</f>
        <v/>
      </c>
      <c r="P17">
        <f>IF(AND($C17&lt;=DATE(2026,3,21),$D17&gt;=DATE(2026,3,15)),1,"")</f>
        <v/>
      </c>
      <c r="Q17">
        <f>IF(AND($C17&lt;=DATE(2026,3,31),$D17&gt;=DATE(2026,3,22)),1,"")</f>
        <v/>
      </c>
      <c r="R17">
        <f>IF(AND($C17&lt;=DATE(2026,4,7),$D17&gt;=DATE(2026,4,1)),1,"")</f>
        <v/>
      </c>
      <c r="S17">
        <f>IF(AND($C17&lt;=DATE(2026,4,14),$D17&gt;=DATE(2026,4,8)),1,"")</f>
        <v/>
      </c>
      <c r="T17">
        <f>IF(AND($C17&lt;=DATE(2026,4,21),$D17&gt;=DATE(2026,4,15)),1,"")</f>
        <v/>
      </c>
      <c r="U17">
        <f>IF(AND($C17&lt;=DATE(2026,4,30),$D17&gt;=DATE(2026,4,22)),1,"")</f>
        <v/>
      </c>
      <c r="V17">
        <f>IF(AND($C17&lt;=DATE(2026,5,7),$D17&gt;=DATE(2026,5,1)),1,"")</f>
        <v/>
      </c>
      <c r="W17">
        <f>IF(AND($C17&lt;=DATE(2026,5,14),$D17&gt;=DATE(2026,5,8)),1,"")</f>
        <v/>
      </c>
      <c r="X17">
        <f>IF(AND($C17&lt;=DATE(2026,5,21),$D17&gt;=DATE(2026,5,15)),1,"")</f>
        <v/>
      </c>
      <c r="Y17">
        <f>IF(AND($C17&lt;=DATE(2026,5,31),$D17&gt;=DATE(2026,5,22)),1,"")</f>
        <v/>
      </c>
      <c r="Z17">
        <f>IF(AND($C17&lt;=DATE(2026,6,7),$D17&gt;=DATE(2026,6,1)),1,"")</f>
        <v/>
      </c>
      <c r="AA17">
        <f>IF(AND($C17&lt;=DATE(2026,6,14),$D17&gt;=DATE(2026,6,8)),1,"")</f>
        <v/>
      </c>
      <c r="AB17">
        <f>IF(AND($C17&lt;=DATE(2026,6,21),$D17&gt;=DATE(2026,6,15)),1,"")</f>
        <v/>
      </c>
      <c r="AC17">
        <f>IF(AND($C17&lt;=DATE(2026,6,30),$D17&gt;=DATE(2026,6,22)),1,"")</f>
        <v/>
      </c>
      <c r="AD17">
        <f>IF(AND($C17&lt;=DATE(2026,7,7),$D17&gt;=DATE(2026,7,1)),1,"")</f>
        <v/>
      </c>
      <c r="AE17">
        <f>IF(AND($C17&lt;=DATE(2026,7,14),$D17&gt;=DATE(2026,7,8)),1,"")</f>
        <v/>
      </c>
      <c r="AF17">
        <f>IF(AND($C17&lt;=DATE(2026,7,21),$D17&gt;=DATE(2026,7,15)),1,"")</f>
        <v/>
      </c>
      <c r="AG17">
        <f>IF(AND($C17&lt;=DATE(2026,7,31),$D17&gt;=DATE(2026,7,22)),1,"")</f>
        <v/>
      </c>
      <c r="AH17">
        <f>IF(AND($C17&lt;=DATE(2026,8,7),$D17&gt;=DATE(2026,8,1)),1,"")</f>
        <v/>
      </c>
      <c r="AI17">
        <f>IF(AND($C17&lt;=DATE(2026,8,14),$D17&gt;=DATE(2026,8,8)),1,"")</f>
        <v/>
      </c>
      <c r="AJ17">
        <f>IF(AND($C17&lt;=DATE(2026,8,21),$D17&gt;=DATE(2026,8,15)),1,"")</f>
        <v/>
      </c>
      <c r="AK17">
        <f>IF(AND($C17&lt;=DATE(2026,8,31),$D17&gt;=DATE(2026,8,22)),1,"")</f>
        <v/>
      </c>
      <c r="AL17">
        <f>IF(AND($C17&lt;=DATE(2026,9,7),$D17&gt;=DATE(2026,9,1)),1,"")</f>
        <v/>
      </c>
      <c r="AM17">
        <f>IF(AND($C17&lt;=DATE(2026,9,14),$D17&gt;=DATE(2026,9,8)),1,"")</f>
        <v/>
      </c>
      <c r="AN17">
        <f>IF(AND($C17&lt;=DATE(2026,9,21),$D17&gt;=DATE(2026,9,15)),1,"")</f>
        <v/>
      </c>
      <c r="AO17">
        <f>IF(AND($C17&lt;=DATE(2026,9,30),$D17&gt;=DATE(2026,9,22)),1,"")</f>
        <v/>
      </c>
      <c r="AP17">
        <f>IF(AND($C17&lt;=DATE(2026,10,7),$D17&gt;=DATE(2026,10,1)),1,"")</f>
        <v/>
      </c>
      <c r="AQ17">
        <f>IF(AND($C17&lt;=DATE(2026,10,14),$D17&gt;=DATE(2026,10,8)),1,"")</f>
        <v/>
      </c>
      <c r="AR17">
        <f>IF(AND($C17&lt;=DATE(2026,10,21),$D17&gt;=DATE(2026,10,15)),1,"")</f>
        <v/>
      </c>
      <c r="AS17">
        <f>IF(AND($C17&lt;=DATE(2026,10,31),$D17&gt;=DATE(2026,10,22)),1,"")</f>
        <v/>
      </c>
      <c r="AT17">
        <f>IF(AND($C17&lt;=DATE(2026,11,7),$D17&gt;=DATE(2026,11,1)),1,"")</f>
        <v/>
      </c>
      <c r="AU17">
        <f>IF(AND($C17&lt;=DATE(2026,11,14),$D17&gt;=DATE(2026,11,8)),1,"")</f>
        <v/>
      </c>
      <c r="AV17">
        <f>IF(AND($C17&lt;=DATE(2026,11,21),$D17&gt;=DATE(2026,11,15)),1,"")</f>
        <v/>
      </c>
      <c r="AW17">
        <f>IF(AND($C17&lt;=DATE(2026,11,30),$D17&gt;=DATE(2026,11,22)),1,"")</f>
        <v/>
      </c>
      <c r="AX17">
        <f>IF(AND($C17&lt;=DATE(2026,12,7),$D17&gt;=DATE(2026,12,1)),1,"")</f>
        <v/>
      </c>
      <c r="AY17">
        <f>IF(AND($C17&lt;=DATE(2026,12,14),$D17&gt;=DATE(2026,12,8)),1,"")</f>
        <v/>
      </c>
      <c r="AZ17">
        <f>IF(AND($C17&lt;=DATE(2026,12,21),$D17&gt;=DATE(2026,12,15)),1,"")</f>
        <v/>
      </c>
      <c r="BA17">
        <f>IF(AND($C17&lt;=DATE(2026,12,31),$D17&gt;=DATE(2026,12,22)),1,"")</f>
        <v/>
      </c>
      <c r="BB17">
        <f>IF(AND($D17&lt;=DATE(2026,12,31),$E17&gt;=DATE(2026,12,22)),1,"")</f>
        <v/>
      </c>
    </row>
    <row r="18" ht="15" customHeight="1">
      <c r="F18">
        <f>IF(AND($C18&lt;=DATE(2026,1,7),$D18&gt;=DATE(2026,1,1)),1,"")</f>
        <v/>
      </c>
      <c r="G18">
        <f>IF(AND($C18&lt;=DATE(2026,1,14),$D18&gt;=DATE(2026,1,8)),1,"")</f>
        <v/>
      </c>
      <c r="H18">
        <f>IF(AND($C18&lt;=DATE(2026,1,21),$D18&gt;=DATE(2026,1,15)),1,"")</f>
        <v/>
      </c>
      <c r="I18">
        <f>IF(AND($C18&lt;=DATE(2026,1,31),$D18&gt;=DATE(2026,1,22)),1,"")</f>
        <v/>
      </c>
      <c r="J18">
        <f>IF(AND($C18&lt;=DATE(2026,2,7),$D18&gt;=DATE(2026,2,1)),1,"")</f>
        <v/>
      </c>
      <c r="K18">
        <f>IF(AND($C18&lt;=DATE(2026,2,14),$D18&gt;=DATE(2026,2,8)),1,"")</f>
        <v/>
      </c>
      <c r="L18">
        <f>IF(AND($C18&lt;=DATE(2026,2,21),$D18&gt;=DATE(2026,2,15)),1,"")</f>
        <v/>
      </c>
      <c r="M18">
        <f>IF(AND($C18&lt;=DATE(2026,2,28),$D18&gt;=DATE(2026,2,22)),1,"")</f>
        <v/>
      </c>
      <c r="N18">
        <f>IF(AND($C18&lt;=DATE(2026,3,7),$D18&gt;=DATE(2026,3,1)),1,"")</f>
        <v/>
      </c>
      <c r="O18">
        <f>IF(AND($C18&lt;=DATE(2026,3,14),$D18&gt;=DATE(2026,3,8)),1,"")</f>
        <v/>
      </c>
      <c r="P18">
        <f>IF(AND($C18&lt;=DATE(2026,3,21),$D18&gt;=DATE(2026,3,15)),1,"")</f>
        <v/>
      </c>
      <c r="Q18">
        <f>IF(AND($C18&lt;=DATE(2026,3,31),$D18&gt;=DATE(2026,3,22)),1,"")</f>
        <v/>
      </c>
      <c r="R18">
        <f>IF(AND($C18&lt;=DATE(2026,4,7),$D18&gt;=DATE(2026,4,1)),1,"")</f>
        <v/>
      </c>
      <c r="S18">
        <f>IF(AND($C18&lt;=DATE(2026,4,14),$D18&gt;=DATE(2026,4,8)),1,"")</f>
        <v/>
      </c>
      <c r="T18">
        <f>IF(AND($C18&lt;=DATE(2026,4,21),$D18&gt;=DATE(2026,4,15)),1,"")</f>
        <v/>
      </c>
      <c r="U18">
        <f>IF(AND($C18&lt;=DATE(2026,4,30),$D18&gt;=DATE(2026,4,22)),1,"")</f>
        <v/>
      </c>
      <c r="V18">
        <f>IF(AND($C18&lt;=DATE(2026,5,7),$D18&gt;=DATE(2026,5,1)),1,"")</f>
        <v/>
      </c>
      <c r="W18">
        <f>IF(AND($C18&lt;=DATE(2026,5,14),$D18&gt;=DATE(2026,5,8)),1,"")</f>
        <v/>
      </c>
      <c r="X18">
        <f>IF(AND($C18&lt;=DATE(2026,5,21),$D18&gt;=DATE(2026,5,15)),1,"")</f>
        <v/>
      </c>
      <c r="Y18">
        <f>IF(AND($C18&lt;=DATE(2026,5,31),$D18&gt;=DATE(2026,5,22)),1,"")</f>
        <v/>
      </c>
      <c r="Z18">
        <f>IF(AND($C18&lt;=DATE(2026,6,7),$D18&gt;=DATE(2026,6,1)),1,"")</f>
        <v/>
      </c>
      <c r="AA18">
        <f>IF(AND($C18&lt;=DATE(2026,6,14),$D18&gt;=DATE(2026,6,8)),1,"")</f>
        <v/>
      </c>
      <c r="AB18">
        <f>IF(AND($C18&lt;=DATE(2026,6,21),$D18&gt;=DATE(2026,6,15)),1,"")</f>
        <v/>
      </c>
      <c r="AC18">
        <f>IF(AND($C18&lt;=DATE(2026,6,30),$D18&gt;=DATE(2026,6,22)),1,"")</f>
        <v/>
      </c>
      <c r="AD18">
        <f>IF(AND($C18&lt;=DATE(2026,7,7),$D18&gt;=DATE(2026,7,1)),1,"")</f>
        <v/>
      </c>
      <c r="AE18">
        <f>IF(AND($C18&lt;=DATE(2026,7,14),$D18&gt;=DATE(2026,7,8)),1,"")</f>
        <v/>
      </c>
      <c r="AF18">
        <f>IF(AND($C18&lt;=DATE(2026,7,21),$D18&gt;=DATE(2026,7,15)),1,"")</f>
        <v/>
      </c>
      <c r="AG18">
        <f>IF(AND($C18&lt;=DATE(2026,7,31),$D18&gt;=DATE(2026,7,22)),1,"")</f>
        <v/>
      </c>
      <c r="AH18">
        <f>IF(AND($C18&lt;=DATE(2026,8,7),$D18&gt;=DATE(2026,8,1)),1,"")</f>
        <v/>
      </c>
      <c r="AI18">
        <f>IF(AND($C18&lt;=DATE(2026,8,14),$D18&gt;=DATE(2026,8,8)),1,"")</f>
        <v/>
      </c>
      <c r="AJ18">
        <f>IF(AND($C18&lt;=DATE(2026,8,21),$D18&gt;=DATE(2026,8,15)),1,"")</f>
        <v/>
      </c>
      <c r="AK18">
        <f>IF(AND($C18&lt;=DATE(2026,8,31),$D18&gt;=DATE(2026,8,22)),1,"")</f>
        <v/>
      </c>
      <c r="AL18">
        <f>IF(AND($C18&lt;=DATE(2026,9,7),$D18&gt;=DATE(2026,9,1)),1,"")</f>
        <v/>
      </c>
      <c r="AM18">
        <f>IF(AND($C18&lt;=DATE(2026,9,14),$D18&gt;=DATE(2026,9,8)),1,"")</f>
        <v/>
      </c>
      <c r="AN18">
        <f>IF(AND($C18&lt;=DATE(2026,9,21),$D18&gt;=DATE(2026,9,15)),1,"")</f>
        <v/>
      </c>
      <c r="AO18">
        <f>IF(AND($C18&lt;=DATE(2026,9,30),$D18&gt;=DATE(2026,9,22)),1,"")</f>
        <v/>
      </c>
      <c r="AP18">
        <f>IF(AND($C18&lt;=DATE(2026,10,7),$D18&gt;=DATE(2026,10,1)),1,"")</f>
        <v/>
      </c>
      <c r="AQ18">
        <f>IF(AND($C18&lt;=DATE(2026,10,14),$D18&gt;=DATE(2026,10,8)),1,"")</f>
        <v/>
      </c>
      <c r="AR18">
        <f>IF(AND($C18&lt;=DATE(2026,10,21),$D18&gt;=DATE(2026,10,15)),1,"")</f>
        <v/>
      </c>
      <c r="AS18">
        <f>IF(AND($C18&lt;=DATE(2026,10,31),$D18&gt;=DATE(2026,10,22)),1,"")</f>
        <v/>
      </c>
      <c r="AT18">
        <f>IF(AND($C18&lt;=DATE(2026,11,7),$D18&gt;=DATE(2026,11,1)),1,"")</f>
        <v/>
      </c>
      <c r="AU18">
        <f>IF(AND($C18&lt;=DATE(2026,11,14),$D18&gt;=DATE(2026,11,8)),1,"")</f>
        <v/>
      </c>
      <c r="AV18">
        <f>IF(AND($C18&lt;=DATE(2026,11,21),$D18&gt;=DATE(2026,11,15)),1,"")</f>
        <v/>
      </c>
      <c r="AW18">
        <f>IF(AND($C18&lt;=DATE(2026,11,30),$D18&gt;=DATE(2026,11,22)),1,"")</f>
        <v/>
      </c>
      <c r="AX18">
        <f>IF(AND($C18&lt;=DATE(2026,12,7),$D18&gt;=DATE(2026,12,1)),1,"")</f>
        <v/>
      </c>
      <c r="AY18">
        <f>IF(AND($C18&lt;=DATE(2026,12,14),$D18&gt;=DATE(2026,12,8)),1,"")</f>
        <v/>
      </c>
      <c r="AZ18">
        <f>IF(AND($C18&lt;=DATE(2026,12,21),$D18&gt;=DATE(2026,12,15)),1,"")</f>
        <v/>
      </c>
      <c r="BA18">
        <f>IF(AND($C18&lt;=DATE(2026,12,31),$D18&gt;=DATE(2026,12,22)),1,"")</f>
        <v/>
      </c>
      <c r="BB18">
        <f>IF(AND($D18&lt;=DATE(2026,12,31),$E18&gt;=DATE(2026,12,22)),1,"")</f>
        <v/>
      </c>
    </row>
    <row r="19" ht="15" customHeight="1">
      <c r="F19">
        <f>IF(AND($C19&lt;=DATE(2026,1,7),$D19&gt;=DATE(2026,1,1)),1,"")</f>
        <v/>
      </c>
      <c r="G19">
        <f>IF(AND($C19&lt;=DATE(2026,1,14),$D19&gt;=DATE(2026,1,8)),1,"")</f>
        <v/>
      </c>
      <c r="H19">
        <f>IF(AND($C19&lt;=DATE(2026,1,21),$D19&gt;=DATE(2026,1,15)),1,"")</f>
        <v/>
      </c>
      <c r="I19">
        <f>IF(AND($C19&lt;=DATE(2026,1,31),$D19&gt;=DATE(2026,1,22)),1,"")</f>
        <v/>
      </c>
      <c r="J19">
        <f>IF(AND($C19&lt;=DATE(2026,2,7),$D19&gt;=DATE(2026,2,1)),1,"")</f>
        <v/>
      </c>
      <c r="K19">
        <f>IF(AND($C19&lt;=DATE(2026,2,14),$D19&gt;=DATE(2026,2,8)),1,"")</f>
        <v/>
      </c>
      <c r="L19">
        <f>IF(AND($C19&lt;=DATE(2026,2,21),$D19&gt;=DATE(2026,2,15)),1,"")</f>
        <v/>
      </c>
      <c r="M19">
        <f>IF(AND($C19&lt;=DATE(2026,2,28),$D19&gt;=DATE(2026,2,22)),1,"")</f>
        <v/>
      </c>
      <c r="N19">
        <f>IF(AND($C19&lt;=DATE(2026,3,7),$D19&gt;=DATE(2026,3,1)),1,"")</f>
        <v/>
      </c>
      <c r="O19">
        <f>IF(AND($C19&lt;=DATE(2026,3,14),$D19&gt;=DATE(2026,3,8)),1,"")</f>
        <v/>
      </c>
      <c r="P19">
        <f>IF(AND($C19&lt;=DATE(2026,3,21),$D19&gt;=DATE(2026,3,15)),1,"")</f>
        <v/>
      </c>
      <c r="Q19">
        <f>IF(AND($C19&lt;=DATE(2026,3,31),$D19&gt;=DATE(2026,3,22)),1,"")</f>
        <v/>
      </c>
      <c r="R19">
        <f>IF(AND($C19&lt;=DATE(2026,4,7),$D19&gt;=DATE(2026,4,1)),1,"")</f>
        <v/>
      </c>
      <c r="S19">
        <f>IF(AND($C19&lt;=DATE(2026,4,14),$D19&gt;=DATE(2026,4,8)),1,"")</f>
        <v/>
      </c>
      <c r="T19">
        <f>IF(AND($C19&lt;=DATE(2026,4,21),$D19&gt;=DATE(2026,4,15)),1,"")</f>
        <v/>
      </c>
      <c r="U19">
        <f>IF(AND($C19&lt;=DATE(2026,4,30),$D19&gt;=DATE(2026,4,22)),1,"")</f>
        <v/>
      </c>
      <c r="V19">
        <f>IF(AND($C19&lt;=DATE(2026,5,7),$D19&gt;=DATE(2026,5,1)),1,"")</f>
        <v/>
      </c>
      <c r="W19">
        <f>IF(AND($C19&lt;=DATE(2026,5,14),$D19&gt;=DATE(2026,5,8)),1,"")</f>
        <v/>
      </c>
      <c r="X19">
        <f>IF(AND($C19&lt;=DATE(2026,5,21),$D19&gt;=DATE(2026,5,15)),1,"")</f>
        <v/>
      </c>
      <c r="Y19">
        <f>IF(AND($C19&lt;=DATE(2026,5,31),$D19&gt;=DATE(2026,5,22)),1,"")</f>
        <v/>
      </c>
      <c r="Z19">
        <f>IF(AND($C19&lt;=DATE(2026,6,7),$D19&gt;=DATE(2026,6,1)),1,"")</f>
        <v/>
      </c>
      <c r="AA19">
        <f>IF(AND($C19&lt;=DATE(2026,6,14),$D19&gt;=DATE(2026,6,8)),1,"")</f>
        <v/>
      </c>
      <c r="AB19">
        <f>IF(AND($C19&lt;=DATE(2026,6,21),$D19&gt;=DATE(2026,6,15)),1,"")</f>
        <v/>
      </c>
      <c r="AC19">
        <f>IF(AND($C19&lt;=DATE(2026,6,30),$D19&gt;=DATE(2026,6,22)),1,"")</f>
        <v/>
      </c>
      <c r="AD19">
        <f>IF(AND($C19&lt;=DATE(2026,7,7),$D19&gt;=DATE(2026,7,1)),1,"")</f>
        <v/>
      </c>
      <c r="AE19">
        <f>IF(AND($C19&lt;=DATE(2026,7,14),$D19&gt;=DATE(2026,7,8)),1,"")</f>
        <v/>
      </c>
      <c r="AF19">
        <f>IF(AND($C19&lt;=DATE(2026,7,21),$D19&gt;=DATE(2026,7,15)),1,"")</f>
        <v/>
      </c>
      <c r="AG19">
        <f>IF(AND($C19&lt;=DATE(2026,7,31),$D19&gt;=DATE(2026,7,22)),1,"")</f>
        <v/>
      </c>
      <c r="AH19">
        <f>IF(AND($C19&lt;=DATE(2026,8,7),$D19&gt;=DATE(2026,8,1)),1,"")</f>
        <v/>
      </c>
      <c r="AI19">
        <f>IF(AND($C19&lt;=DATE(2026,8,14),$D19&gt;=DATE(2026,8,8)),1,"")</f>
        <v/>
      </c>
      <c r="AJ19">
        <f>IF(AND($C19&lt;=DATE(2026,8,21),$D19&gt;=DATE(2026,8,15)),1,"")</f>
        <v/>
      </c>
      <c r="AK19">
        <f>IF(AND($C19&lt;=DATE(2026,8,31),$D19&gt;=DATE(2026,8,22)),1,"")</f>
        <v/>
      </c>
      <c r="AL19">
        <f>IF(AND($C19&lt;=DATE(2026,9,7),$D19&gt;=DATE(2026,9,1)),1,"")</f>
        <v/>
      </c>
      <c r="AM19">
        <f>IF(AND($C19&lt;=DATE(2026,9,14),$D19&gt;=DATE(2026,9,8)),1,"")</f>
        <v/>
      </c>
      <c r="AN19">
        <f>IF(AND($C19&lt;=DATE(2026,9,21),$D19&gt;=DATE(2026,9,15)),1,"")</f>
        <v/>
      </c>
      <c r="AO19">
        <f>IF(AND($C19&lt;=DATE(2026,9,30),$D19&gt;=DATE(2026,9,22)),1,"")</f>
        <v/>
      </c>
      <c r="AP19">
        <f>IF(AND($C19&lt;=DATE(2026,10,7),$D19&gt;=DATE(2026,10,1)),1,"")</f>
        <v/>
      </c>
      <c r="AQ19">
        <f>IF(AND($C19&lt;=DATE(2026,10,14),$D19&gt;=DATE(2026,10,8)),1,"")</f>
        <v/>
      </c>
      <c r="AR19">
        <f>IF(AND($C19&lt;=DATE(2026,10,21),$D19&gt;=DATE(2026,10,15)),1,"")</f>
        <v/>
      </c>
      <c r="AS19">
        <f>IF(AND($C19&lt;=DATE(2026,10,31),$D19&gt;=DATE(2026,10,22)),1,"")</f>
        <v/>
      </c>
      <c r="AT19">
        <f>IF(AND($C19&lt;=DATE(2026,11,7),$D19&gt;=DATE(2026,11,1)),1,"")</f>
        <v/>
      </c>
      <c r="AU19">
        <f>IF(AND($C19&lt;=DATE(2026,11,14),$D19&gt;=DATE(2026,11,8)),1,"")</f>
        <v/>
      </c>
      <c r="AV19">
        <f>IF(AND($C19&lt;=DATE(2026,11,21),$D19&gt;=DATE(2026,11,15)),1,"")</f>
        <v/>
      </c>
      <c r="AW19">
        <f>IF(AND($C19&lt;=DATE(2026,11,30),$D19&gt;=DATE(2026,11,22)),1,"")</f>
        <v/>
      </c>
      <c r="AX19">
        <f>IF(AND($C19&lt;=DATE(2026,12,7),$D19&gt;=DATE(2026,12,1)),1,"")</f>
        <v/>
      </c>
      <c r="AY19">
        <f>IF(AND($C19&lt;=DATE(2026,12,14),$D19&gt;=DATE(2026,12,8)),1,"")</f>
        <v/>
      </c>
      <c r="AZ19">
        <f>IF(AND($C19&lt;=DATE(2026,12,21),$D19&gt;=DATE(2026,12,15)),1,"")</f>
        <v/>
      </c>
      <c r="BA19">
        <f>IF(AND($C19&lt;=DATE(2026,12,31),$D19&gt;=DATE(2026,12,22)),1,"")</f>
        <v/>
      </c>
      <c r="BB19">
        <f>IF(AND($D19&lt;=DATE(2026,12,31),$E19&gt;=DATE(2026,12,22)),1,"")</f>
        <v/>
      </c>
    </row>
    <row r="20" ht="15" customHeight="1">
      <c r="F20">
        <f>IF(AND($C20&lt;=DATE(2026,1,7),$D20&gt;=DATE(2026,1,1)),1,"")</f>
        <v/>
      </c>
      <c r="G20">
        <f>IF(AND($C20&lt;=DATE(2026,1,14),$D20&gt;=DATE(2026,1,8)),1,"")</f>
        <v/>
      </c>
      <c r="H20">
        <f>IF(AND($C20&lt;=DATE(2026,1,21),$D20&gt;=DATE(2026,1,15)),1,"")</f>
        <v/>
      </c>
      <c r="I20">
        <f>IF(AND($C20&lt;=DATE(2026,1,31),$D20&gt;=DATE(2026,1,22)),1,"")</f>
        <v/>
      </c>
      <c r="J20">
        <f>IF(AND($C20&lt;=DATE(2026,2,7),$D20&gt;=DATE(2026,2,1)),1,"")</f>
        <v/>
      </c>
      <c r="K20">
        <f>IF(AND($C20&lt;=DATE(2026,2,14),$D20&gt;=DATE(2026,2,8)),1,"")</f>
        <v/>
      </c>
      <c r="L20">
        <f>IF(AND($C20&lt;=DATE(2026,2,21),$D20&gt;=DATE(2026,2,15)),1,"")</f>
        <v/>
      </c>
      <c r="M20">
        <f>IF(AND($C20&lt;=DATE(2026,2,28),$D20&gt;=DATE(2026,2,22)),1,"")</f>
        <v/>
      </c>
      <c r="N20">
        <f>IF(AND($C20&lt;=DATE(2026,3,7),$D20&gt;=DATE(2026,3,1)),1,"")</f>
        <v/>
      </c>
      <c r="O20">
        <f>IF(AND($C20&lt;=DATE(2026,3,14),$D20&gt;=DATE(2026,3,8)),1,"")</f>
        <v/>
      </c>
      <c r="P20">
        <f>IF(AND($C20&lt;=DATE(2026,3,21),$D20&gt;=DATE(2026,3,15)),1,"")</f>
        <v/>
      </c>
      <c r="Q20">
        <f>IF(AND($C20&lt;=DATE(2026,3,31),$D20&gt;=DATE(2026,3,22)),1,"")</f>
        <v/>
      </c>
      <c r="R20">
        <f>IF(AND($C20&lt;=DATE(2026,4,7),$D20&gt;=DATE(2026,4,1)),1,"")</f>
        <v/>
      </c>
      <c r="S20">
        <f>IF(AND($C20&lt;=DATE(2026,4,14),$D20&gt;=DATE(2026,4,8)),1,"")</f>
        <v/>
      </c>
      <c r="T20">
        <f>IF(AND($C20&lt;=DATE(2026,4,21),$D20&gt;=DATE(2026,4,15)),1,"")</f>
        <v/>
      </c>
      <c r="U20">
        <f>IF(AND($C20&lt;=DATE(2026,4,30),$D20&gt;=DATE(2026,4,22)),1,"")</f>
        <v/>
      </c>
      <c r="V20">
        <f>IF(AND($C20&lt;=DATE(2026,5,7),$D20&gt;=DATE(2026,5,1)),1,"")</f>
        <v/>
      </c>
      <c r="W20">
        <f>IF(AND($C20&lt;=DATE(2026,5,14),$D20&gt;=DATE(2026,5,8)),1,"")</f>
        <v/>
      </c>
      <c r="X20">
        <f>IF(AND($C20&lt;=DATE(2026,5,21),$D20&gt;=DATE(2026,5,15)),1,"")</f>
        <v/>
      </c>
      <c r="Y20">
        <f>IF(AND($C20&lt;=DATE(2026,5,31),$D20&gt;=DATE(2026,5,22)),1,"")</f>
        <v/>
      </c>
      <c r="Z20">
        <f>IF(AND($C20&lt;=DATE(2026,6,7),$D20&gt;=DATE(2026,6,1)),1,"")</f>
        <v/>
      </c>
      <c r="AA20">
        <f>IF(AND($C20&lt;=DATE(2026,6,14),$D20&gt;=DATE(2026,6,8)),1,"")</f>
        <v/>
      </c>
      <c r="AB20">
        <f>IF(AND($C20&lt;=DATE(2026,6,21),$D20&gt;=DATE(2026,6,15)),1,"")</f>
        <v/>
      </c>
      <c r="AC20">
        <f>IF(AND($C20&lt;=DATE(2026,6,30),$D20&gt;=DATE(2026,6,22)),1,"")</f>
        <v/>
      </c>
      <c r="AD20">
        <f>IF(AND($C20&lt;=DATE(2026,7,7),$D20&gt;=DATE(2026,7,1)),1,"")</f>
        <v/>
      </c>
      <c r="AE20">
        <f>IF(AND($C20&lt;=DATE(2026,7,14),$D20&gt;=DATE(2026,7,8)),1,"")</f>
        <v/>
      </c>
      <c r="AF20">
        <f>IF(AND($C20&lt;=DATE(2026,7,21),$D20&gt;=DATE(2026,7,15)),1,"")</f>
        <v/>
      </c>
      <c r="AG20">
        <f>IF(AND($C20&lt;=DATE(2026,7,31),$D20&gt;=DATE(2026,7,22)),1,"")</f>
        <v/>
      </c>
      <c r="AH20">
        <f>IF(AND($C20&lt;=DATE(2026,8,7),$D20&gt;=DATE(2026,8,1)),1,"")</f>
        <v/>
      </c>
      <c r="AI20">
        <f>IF(AND($C20&lt;=DATE(2026,8,14),$D20&gt;=DATE(2026,8,8)),1,"")</f>
        <v/>
      </c>
      <c r="AJ20">
        <f>IF(AND($C20&lt;=DATE(2026,8,21),$D20&gt;=DATE(2026,8,15)),1,"")</f>
        <v/>
      </c>
      <c r="AK20">
        <f>IF(AND($C20&lt;=DATE(2026,8,31),$D20&gt;=DATE(2026,8,22)),1,"")</f>
        <v/>
      </c>
      <c r="AL20">
        <f>IF(AND($C20&lt;=DATE(2026,9,7),$D20&gt;=DATE(2026,9,1)),1,"")</f>
        <v/>
      </c>
      <c r="AM20">
        <f>IF(AND($C20&lt;=DATE(2026,9,14),$D20&gt;=DATE(2026,9,8)),1,"")</f>
        <v/>
      </c>
      <c r="AN20">
        <f>IF(AND($C20&lt;=DATE(2026,9,21),$D20&gt;=DATE(2026,9,15)),1,"")</f>
        <v/>
      </c>
      <c r="AO20">
        <f>IF(AND($C20&lt;=DATE(2026,9,30),$D20&gt;=DATE(2026,9,22)),1,"")</f>
        <v/>
      </c>
      <c r="AP20">
        <f>IF(AND($C20&lt;=DATE(2026,10,7),$D20&gt;=DATE(2026,10,1)),1,"")</f>
        <v/>
      </c>
      <c r="AQ20">
        <f>IF(AND($C20&lt;=DATE(2026,10,14),$D20&gt;=DATE(2026,10,8)),1,"")</f>
        <v/>
      </c>
      <c r="AR20">
        <f>IF(AND($C20&lt;=DATE(2026,10,21),$D20&gt;=DATE(2026,10,15)),1,"")</f>
        <v/>
      </c>
      <c r="AS20">
        <f>IF(AND($C20&lt;=DATE(2026,10,31),$D20&gt;=DATE(2026,10,22)),1,"")</f>
        <v/>
      </c>
      <c r="AT20">
        <f>IF(AND($C20&lt;=DATE(2026,11,7),$D20&gt;=DATE(2026,11,1)),1,"")</f>
        <v/>
      </c>
      <c r="AU20">
        <f>IF(AND($C20&lt;=DATE(2026,11,14),$D20&gt;=DATE(2026,11,8)),1,"")</f>
        <v/>
      </c>
      <c r="AV20">
        <f>IF(AND($C20&lt;=DATE(2026,11,21),$D20&gt;=DATE(2026,11,15)),1,"")</f>
        <v/>
      </c>
      <c r="AW20">
        <f>IF(AND($C20&lt;=DATE(2026,11,30),$D20&gt;=DATE(2026,11,22)),1,"")</f>
        <v/>
      </c>
      <c r="AX20">
        <f>IF(AND($C20&lt;=DATE(2026,12,7),$D20&gt;=DATE(2026,12,1)),1,"")</f>
        <v/>
      </c>
      <c r="AY20">
        <f>IF(AND($C20&lt;=DATE(2026,12,14),$D20&gt;=DATE(2026,12,8)),1,"")</f>
        <v/>
      </c>
      <c r="AZ20">
        <f>IF(AND($C20&lt;=DATE(2026,12,21),$D20&gt;=DATE(2026,12,15)),1,"")</f>
        <v/>
      </c>
      <c r="BA20">
        <f>IF(AND($C20&lt;=DATE(2026,12,31),$D20&gt;=DATE(2026,12,22)),1,"")</f>
        <v/>
      </c>
      <c r="BB20">
        <f>IF(AND($D20&lt;=DATE(2026,12,31),$E20&gt;=DATE(2026,12,22)),1,"")</f>
        <v/>
      </c>
    </row>
    <row r="21" ht="15" customHeight="1">
      <c r="F21">
        <f>IF(AND($C21&lt;=DATE(2026,1,7),$D21&gt;=DATE(2026,1,1)),1,"")</f>
        <v/>
      </c>
      <c r="G21">
        <f>IF(AND($C21&lt;=DATE(2026,1,14),$D21&gt;=DATE(2026,1,8)),1,"")</f>
        <v/>
      </c>
      <c r="H21">
        <f>IF(AND($C21&lt;=DATE(2026,1,21),$D21&gt;=DATE(2026,1,15)),1,"")</f>
        <v/>
      </c>
      <c r="I21">
        <f>IF(AND($C21&lt;=DATE(2026,1,31),$D21&gt;=DATE(2026,1,22)),1,"")</f>
        <v/>
      </c>
      <c r="J21">
        <f>IF(AND($C21&lt;=DATE(2026,2,7),$D21&gt;=DATE(2026,2,1)),1,"")</f>
        <v/>
      </c>
      <c r="K21">
        <f>IF(AND($C21&lt;=DATE(2026,2,14),$D21&gt;=DATE(2026,2,8)),1,"")</f>
        <v/>
      </c>
      <c r="L21">
        <f>IF(AND($C21&lt;=DATE(2026,2,21),$D21&gt;=DATE(2026,2,15)),1,"")</f>
        <v/>
      </c>
      <c r="M21">
        <f>IF(AND($C21&lt;=DATE(2026,2,28),$D21&gt;=DATE(2026,2,22)),1,"")</f>
        <v/>
      </c>
      <c r="N21">
        <f>IF(AND($C21&lt;=DATE(2026,3,7),$D21&gt;=DATE(2026,3,1)),1,"")</f>
        <v/>
      </c>
      <c r="O21">
        <f>IF(AND($C21&lt;=DATE(2026,3,14),$D21&gt;=DATE(2026,3,8)),1,"")</f>
        <v/>
      </c>
      <c r="P21">
        <f>IF(AND($C21&lt;=DATE(2026,3,21),$D21&gt;=DATE(2026,3,15)),1,"")</f>
        <v/>
      </c>
      <c r="Q21">
        <f>IF(AND($C21&lt;=DATE(2026,3,31),$D21&gt;=DATE(2026,3,22)),1,"")</f>
        <v/>
      </c>
      <c r="R21">
        <f>IF(AND($C21&lt;=DATE(2026,4,7),$D21&gt;=DATE(2026,4,1)),1,"")</f>
        <v/>
      </c>
      <c r="S21">
        <f>IF(AND($C21&lt;=DATE(2026,4,14),$D21&gt;=DATE(2026,4,8)),1,"")</f>
        <v/>
      </c>
      <c r="T21">
        <f>IF(AND($C21&lt;=DATE(2026,4,21),$D21&gt;=DATE(2026,4,15)),1,"")</f>
        <v/>
      </c>
      <c r="U21">
        <f>IF(AND($C21&lt;=DATE(2026,4,30),$D21&gt;=DATE(2026,4,22)),1,"")</f>
        <v/>
      </c>
      <c r="V21">
        <f>IF(AND($C21&lt;=DATE(2026,5,7),$D21&gt;=DATE(2026,5,1)),1,"")</f>
        <v/>
      </c>
      <c r="W21">
        <f>IF(AND($C21&lt;=DATE(2026,5,14),$D21&gt;=DATE(2026,5,8)),1,"")</f>
        <v/>
      </c>
      <c r="X21">
        <f>IF(AND($C21&lt;=DATE(2026,5,21),$D21&gt;=DATE(2026,5,15)),1,"")</f>
        <v/>
      </c>
      <c r="Y21">
        <f>IF(AND($C21&lt;=DATE(2026,5,31),$D21&gt;=DATE(2026,5,22)),1,"")</f>
        <v/>
      </c>
      <c r="Z21">
        <f>IF(AND($C21&lt;=DATE(2026,6,7),$D21&gt;=DATE(2026,6,1)),1,"")</f>
        <v/>
      </c>
      <c r="AA21">
        <f>IF(AND($C21&lt;=DATE(2026,6,14),$D21&gt;=DATE(2026,6,8)),1,"")</f>
        <v/>
      </c>
      <c r="AB21">
        <f>IF(AND($C21&lt;=DATE(2026,6,21),$D21&gt;=DATE(2026,6,15)),1,"")</f>
        <v/>
      </c>
      <c r="AC21">
        <f>IF(AND($C21&lt;=DATE(2026,6,30),$D21&gt;=DATE(2026,6,22)),1,"")</f>
        <v/>
      </c>
      <c r="AD21">
        <f>IF(AND($C21&lt;=DATE(2026,7,7),$D21&gt;=DATE(2026,7,1)),1,"")</f>
        <v/>
      </c>
      <c r="AE21">
        <f>IF(AND($C21&lt;=DATE(2026,7,14),$D21&gt;=DATE(2026,7,8)),1,"")</f>
        <v/>
      </c>
      <c r="AF21">
        <f>IF(AND($C21&lt;=DATE(2026,7,21),$D21&gt;=DATE(2026,7,15)),1,"")</f>
        <v/>
      </c>
      <c r="AG21">
        <f>IF(AND($C21&lt;=DATE(2026,7,31),$D21&gt;=DATE(2026,7,22)),1,"")</f>
        <v/>
      </c>
      <c r="AH21">
        <f>IF(AND($C21&lt;=DATE(2026,8,7),$D21&gt;=DATE(2026,8,1)),1,"")</f>
        <v/>
      </c>
      <c r="AI21">
        <f>IF(AND($C21&lt;=DATE(2026,8,14),$D21&gt;=DATE(2026,8,8)),1,"")</f>
        <v/>
      </c>
      <c r="AJ21">
        <f>IF(AND($C21&lt;=DATE(2026,8,21),$D21&gt;=DATE(2026,8,15)),1,"")</f>
        <v/>
      </c>
      <c r="AK21">
        <f>IF(AND($C21&lt;=DATE(2026,8,31),$D21&gt;=DATE(2026,8,22)),1,"")</f>
        <v/>
      </c>
      <c r="AL21">
        <f>IF(AND($C21&lt;=DATE(2026,9,7),$D21&gt;=DATE(2026,9,1)),1,"")</f>
        <v/>
      </c>
      <c r="AM21">
        <f>IF(AND($C21&lt;=DATE(2026,9,14),$D21&gt;=DATE(2026,9,8)),1,"")</f>
        <v/>
      </c>
      <c r="AN21">
        <f>IF(AND($C21&lt;=DATE(2026,9,21),$D21&gt;=DATE(2026,9,15)),1,"")</f>
        <v/>
      </c>
      <c r="AO21">
        <f>IF(AND($C21&lt;=DATE(2026,9,30),$D21&gt;=DATE(2026,9,22)),1,"")</f>
        <v/>
      </c>
      <c r="AP21">
        <f>IF(AND($C21&lt;=DATE(2026,10,7),$D21&gt;=DATE(2026,10,1)),1,"")</f>
        <v/>
      </c>
      <c r="AQ21">
        <f>IF(AND($C21&lt;=DATE(2026,10,14),$D21&gt;=DATE(2026,10,8)),1,"")</f>
        <v/>
      </c>
      <c r="AR21">
        <f>IF(AND($C21&lt;=DATE(2026,10,21),$D21&gt;=DATE(2026,10,15)),1,"")</f>
        <v/>
      </c>
      <c r="AS21">
        <f>IF(AND($C21&lt;=DATE(2026,10,31),$D21&gt;=DATE(2026,10,22)),1,"")</f>
        <v/>
      </c>
      <c r="AT21">
        <f>IF(AND($C21&lt;=DATE(2026,11,7),$D21&gt;=DATE(2026,11,1)),1,"")</f>
        <v/>
      </c>
      <c r="AU21">
        <f>IF(AND($C21&lt;=DATE(2026,11,14),$D21&gt;=DATE(2026,11,8)),1,"")</f>
        <v/>
      </c>
      <c r="AV21">
        <f>IF(AND($C21&lt;=DATE(2026,11,21),$D21&gt;=DATE(2026,11,15)),1,"")</f>
        <v/>
      </c>
      <c r="AW21">
        <f>IF(AND($C21&lt;=DATE(2026,11,30),$D21&gt;=DATE(2026,11,22)),1,"")</f>
        <v/>
      </c>
      <c r="AX21">
        <f>IF(AND($C21&lt;=DATE(2026,12,7),$D21&gt;=DATE(2026,12,1)),1,"")</f>
        <v/>
      </c>
      <c r="AY21">
        <f>IF(AND($C21&lt;=DATE(2026,12,14),$D21&gt;=DATE(2026,12,8)),1,"")</f>
        <v/>
      </c>
      <c r="AZ21">
        <f>IF(AND($C21&lt;=DATE(2026,12,21),$D21&gt;=DATE(2026,12,15)),1,"")</f>
        <v/>
      </c>
      <c r="BA21">
        <f>IF(AND($C21&lt;=DATE(2026,12,31),$D21&gt;=DATE(2026,12,22)),1,"")</f>
        <v/>
      </c>
      <c r="BB21">
        <f>IF(AND($D21&lt;=DATE(2026,12,31),$E21&gt;=DATE(2026,12,22)),1,"")</f>
        <v/>
      </c>
    </row>
    <row r="22" ht="15" customHeight="1"/>
    <row r="23" ht="15" customHeight="1">
      <c r="F23">
        <f>IF(OR(D23="",E23=""),"",E23-D23+1)</f>
        <v/>
      </c>
      <c r="G23">
        <f>IF(AND($D23&lt;=DATE(2026,1,7),$E23&gt;=DATE(2026,1,1)),1,"")</f>
        <v/>
      </c>
      <c r="H23">
        <f>IF(AND($D23&lt;=DATE(2026,1,14),$E23&gt;=DATE(2026,1,8)),1,"")</f>
        <v/>
      </c>
      <c r="I23">
        <f>IF(AND($D23&lt;=DATE(2026,1,21),$E23&gt;=DATE(2026,1,15)),1,"")</f>
        <v/>
      </c>
      <c r="J23">
        <f>IF(AND($D23&lt;=DATE(2026,1,31),$E23&gt;=DATE(2026,1,22)),1,"")</f>
        <v/>
      </c>
      <c r="K23">
        <f>IF(AND($D23&lt;=DATE(2026,2,7),$E23&gt;=DATE(2026,2,1)),1,"")</f>
        <v/>
      </c>
      <c r="L23">
        <f>IF(AND($D23&lt;=DATE(2026,2,14),$E23&gt;=DATE(2026,2,8)),1,"")</f>
        <v/>
      </c>
      <c r="M23">
        <f>IF(AND($D23&lt;=DATE(2026,2,21),$E23&gt;=DATE(2026,2,15)),1,"")</f>
        <v/>
      </c>
      <c r="N23">
        <f>IF(AND($D23&lt;=DATE(2026,2,28),$E23&gt;=DATE(2026,2,22)),1,"")</f>
        <v/>
      </c>
      <c r="O23">
        <f>IF(AND($D23&lt;=DATE(2026,3,7),$E23&gt;=DATE(2026,3,1)),1,"")</f>
        <v/>
      </c>
      <c r="P23">
        <f>IF(AND($D23&lt;=DATE(2026,3,14),$E23&gt;=DATE(2026,3,8)),1,"")</f>
        <v/>
      </c>
      <c r="Q23">
        <f>IF(AND($D23&lt;=DATE(2026,3,21),$E23&gt;=DATE(2026,3,15)),1,"")</f>
        <v/>
      </c>
      <c r="R23">
        <f>IF(AND($D23&lt;=DATE(2026,3,31),$E23&gt;=DATE(2026,3,22)),1,"")</f>
        <v/>
      </c>
      <c r="S23">
        <f>IF(AND($D23&lt;=DATE(2026,4,7),$E23&gt;=DATE(2026,4,1)),1,"")</f>
        <v/>
      </c>
      <c r="T23">
        <f>IF(AND($D23&lt;=DATE(2026,4,14),$E23&gt;=DATE(2026,4,8)),1,"")</f>
        <v/>
      </c>
      <c r="U23">
        <f>IF(AND($D23&lt;=DATE(2026,4,21),$E23&gt;=DATE(2026,4,15)),1,"")</f>
        <v/>
      </c>
      <c r="V23">
        <f>IF(AND($D23&lt;=DATE(2026,4,30),$E23&gt;=DATE(2026,4,22)),1,"")</f>
        <v/>
      </c>
      <c r="W23">
        <f>IF(AND($D23&lt;=DATE(2026,5,7),$E23&gt;=DATE(2026,5,1)),1,"")</f>
        <v/>
      </c>
      <c r="X23">
        <f>IF(AND($D23&lt;=DATE(2026,5,14),$E23&gt;=DATE(2026,5,8)),1,"")</f>
        <v/>
      </c>
      <c r="Y23">
        <f>IF(AND($D23&lt;=DATE(2026,5,21),$E23&gt;=DATE(2026,5,15)),1,"")</f>
        <v/>
      </c>
      <c r="Z23">
        <f>IF(AND($D23&lt;=DATE(2026,5,31),$E23&gt;=DATE(2026,5,22)),1,"")</f>
        <v/>
      </c>
      <c r="AA23">
        <f>IF(AND($D23&lt;=DATE(2026,6,7),$E23&gt;=DATE(2026,6,1)),1,"")</f>
        <v/>
      </c>
      <c r="AB23">
        <f>IF(AND($D23&lt;=DATE(2026,6,14),$E23&gt;=DATE(2026,6,8)),1,"")</f>
        <v/>
      </c>
      <c r="AC23">
        <f>IF(AND($D23&lt;=DATE(2026,6,21),$E23&gt;=DATE(2026,6,15)),1,"")</f>
        <v/>
      </c>
      <c r="AD23">
        <f>IF(AND($D23&lt;=DATE(2026,6,30),$E23&gt;=DATE(2026,6,22)),1,"")</f>
        <v/>
      </c>
      <c r="AE23">
        <f>IF(AND($D23&lt;=DATE(2026,7,7),$E23&gt;=DATE(2026,7,1)),1,"")</f>
        <v/>
      </c>
      <c r="AF23">
        <f>IF(AND($D23&lt;=DATE(2026,7,14),$E23&gt;=DATE(2026,7,8)),1,"")</f>
        <v/>
      </c>
      <c r="AG23">
        <f>IF(AND($D23&lt;=DATE(2026,7,21),$E23&gt;=DATE(2026,7,15)),1,"")</f>
        <v/>
      </c>
      <c r="AH23">
        <f>IF(AND($D23&lt;=DATE(2026,7,31),$E23&gt;=DATE(2026,7,22)),1,"")</f>
        <v/>
      </c>
      <c r="AI23">
        <f>IF(AND($D23&lt;=DATE(2026,8,7),$E23&gt;=DATE(2026,8,1)),1,"")</f>
        <v/>
      </c>
      <c r="AJ23">
        <f>IF(AND($D23&lt;=DATE(2026,8,14),$E23&gt;=DATE(2026,8,8)),1,"")</f>
        <v/>
      </c>
      <c r="AK23">
        <f>IF(AND($D23&lt;=DATE(2026,8,21),$E23&gt;=DATE(2026,8,15)),1,"")</f>
        <v/>
      </c>
      <c r="AL23">
        <f>IF(AND($D23&lt;=DATE(2026,8,31),$E23&gt;=DATE(2026,8,22)),1,"")</f>
        <v/>
      </c>
      <c r="AM23">
        <f>IF(AND($D23&lt;=DATE(2026,9,7),$E23&gt;=DATE(2026,9,1)),1,"")</f>
        <v/>
      </c>
      <c r="AN23">
        <f>IF(AND($D23&lt;=DATE(2026,9,14),$E23&gt;=DATE(2026,9,8)),1,"")</f>
        <v/>
      </c>
      <c r="AO23">
        <f>IF(AND($D23&lt;=DATE(2026,9,21),$E23&gt;=DATE(2026,9,15)),1,"")</f>
        <v/>
      </c>
      <c r="AP23">
        <f>IF(AND($D23&lt;=DATE(2026,9,30),$E23&gt;=DATE(2026,9,22)),1,"")</f>
        <v/>
      </c>
      <c r="AQ23">
        <f>IF(AND($D23&lt;=DATE(2026,10,7),$E23&gt;=DATE(2026,10,1)),1,"")</f>
        <v/>
      </c>
      <c r="AR23">
        <f>IF(AND($D23&lt;=DATE(2026,10,14),$E23&gt;=DATE(2026,10,8)),1,"")</f>
        <v/>
      </c>
      <c r="AS23">
        <f>IF(AND($D23&lt;=DATE(2026,10,21),$E23&gt;=DATE(2026,10,15)),1,"")</f>
        <v/>
      </c>
      <c r="AT23">
        <f>IF(AND($D23&lt;=DATE(2026,10,31),$E23&gt;=DATE(2026,10,22)),1,"")</f>
        <v/>
      </c>
      <c r="AU23">
        <f>IF(AND($D23&lt;=DATE(2026,11,7),$E23&gt;=DATE(2026,11,1)),1,"")</f>
        <v/>
      </c>
      <c r="AV23">
        <f>IF(AND($D23&lt;=DATE(2026,11,14),$E23&gt;=DATE(2026,11,8)),1,"")</f>
        <v/>
      </c>
      <c r="AW23">
        <f>IF(AND($D23&lt;=DATE(2026,11,21),$E23&gt;=DATE(2026,11,15)),1,"")</f>
        <v/>
      </c>
      <c r="AX23">
        <f>IF(AND($D23&lt;=DATE(2026,11,30),$E23&gt;=DATE(2026,11,22)),1,"")</f>
        <v/>
      </c>
      <c r="AY23">
        <f>IF(AND($D23&lt;=DATE(2026,12,7),$E23&gt;=DATE(2026,12,1)),1,"")</f>
        <v/>
      </c>
      <c r="AZ23">
        <f>IF(AND($D23&lt;=DATE(2026,12,14),$E23&gt;=DATE(2026,12,8)),1,"")</f>
        <v/>
      </c>
      <c r="BA23">
        <f>IF(AND($D23&lt;=DATE(2026,12,21),$E23&gt;=DATE(2026,12,15)),1,"")</f>
        <v/>
      </c>
      <c r="BB23">
        <f>IF(AND($D23&lt;=DATE(2026,12,31),$E23&gt;=DATE(2026,12,22)),1,"")</f>
        <v/>
      </c>
    </row>
    <row r="24" ht="15" customHeight="1">
      <c r="F24">
        <f>IF(OR(D24="",E24=""),"",E24-D24+1)</f>
        <v/>
      </c>
      <c r="G24">
        <f>IF(AND($D24&lt;=DATE(2026,1,7),$E24&gt;=DATE(2026,1,1)),1,"")</f>
        <v/>
      </c>
      <c r="H24">
        <f>IF(AND($D24&lt;=DATE(2026,1,14),$E24&gt;=DATE(2026,1,8)),1,"")</f>
        <v/>
      </c>
      <c r="I24">
        <f>IF(AND($D24&lt;=DATE(2026,1,21),$E24&gt;=DATE(2026,1,15)),1,"")</f>
        <v/>
      </c>
      <c r="J24">
        <f>IF(AND($D24&lt;=DATE(2026,1,31),$E24&gt;=DATE(2026,1,22)),1,"")</f>
        <v/>
      </c>
      <c r="K24">
        <f>IF(AND($D24&lt;=DATE(2026,2,7),$E24&gt;=DATE(2026,2,1)),1,"")</f>
        <v/>
      </c>
      <c r="L24">
        <f>IF(AND($D24&lt;=DATE(2026,2,14),$E24&gt;=DATE(2026,2,8)),1,"")</f>
        <v/>
      </c>
      <c r="M24">
        <f>IF(AND($D24&lt;=DATE(2026,2,21),$E24&gt;=DATE(2026,2,15)),1,"")</f>
        <v/>
      </c>
      <c r="N24">
        <f>IF(AND($D24&lt;=DATE(2026,2,28),$E24&gt;=DATE(2026,2,22)),1,"")</f>
        <v/>
      </c>
      <c r="O24">
        <f>IF(AND($D24&lt;=DATE(2026,3,7),$E24&gt;=DATE(2026,3,1)),1,"")</f>
        <v/>
      </c>
      <c r="P24">
        <f>IF(AND($D24&lt;=DATE(2026,3,14),$E24&gt;=DATE(2026,3,8)),1,"")</f>
        <v/>
      </c>
      <c r="Q24">
        <f>IF(AND($D24&lt;=DATE(2026,3,21),$E24&gt;=DATE(2026,3,15)),1,"")</f>
        <v/>
      </c>
      <c r="R24">
        <f>IF(AND($D24&lt;=DATE(2026,3,31),$E24&gt;=DATE(2026,3,22)),1,"")</f>
        <v/>
      </c>
      <c r="S24">
        <f>IF(AND($D24&lt;=DATE(2026,4,7),$E24&gt;=DATE(2026,4,1)),1,"")</f>
        <v/>
      </c>
      <c r="T24">
        <f>IF(AND($D24&lt;=DATE(2026,4,14),$E24&gt;=DATE(2026,4,8)),1,"")</f>
        <v/>
      </c>
      <c r="U24">
        <f>IF(AND($D24&lt;=DATE(2026,4,21),$E24&gt;=DATE(2026,4,15)),1,"")</f>
        <v/>
      </c>
      <c r="V24">
        <f>IF(AND($D24&lt;=DATE(2026,4,30),$E24&gt;=DATE(2026,4,22)),1,"")</f>
        <v/>
      </c>
      <c r="W24">
        <f>IF(AND($D24&lt;=DATE(2026,5,7),$E24&gt;=DATE(2026,5,1)),1,"")</f>
        <v/>
      </c>
      <c r="X24">
        <f>IF(AND($D24&lt;=DATE(2026,5,14),$E24&gt;=DATE(2026,5,8)),1,"")</f>
        <v/>
      </c>
      <c r="Y24">
        <f>IF(AND($D24&lt;=DATE(2026,5,21),$E24&gt;=DATE(2026,5,15)),1,"")</f>
        <v/>
      </c>
      <c r="Z24">
        <f>IF(AND($D24&lt;=DATE(2026,5,31),$E24&gt;=DATE(2026,5,22)),1,"")</f>
        <v/>
      </c>
      <c r="AA24">
        <f>IF(AND($D24&lt;=DATE(2026,6,7),$E24&gt;=DATE(2026,6,1)),1,"")</f>
        <v/>
      </c>
      <c r="AB24">
        <f>IF(AND($D24&lt;=DATE(2026,6,14),$E24&gt;=DATE(2026,6,8)),1,"")</f>
        <v/>
      </c>
      <c r="AC24">
        <f>IF(AND($D24&lt;=DATE(2026,6,21),$E24&gt;=DATE(2026,6,15)),1,"")</f>
        <v/>
      </c>
      <c r="AD24">
        <f>IF(AND($D24&lt;=DATE(2026,6,30),$E24&gt;=DATE(2026,6,22)),1,"")</f>
        <v/>
      </c>
      <c r="AE24">
        <f>IF(AND($D24&lt;=DATE(2026,7,7),$E24&gt;=DATE(2026,7,1)),1,"")</f>
        <v/>
      </c>
      <c r="AF24">
        <f>IF(AND($D24&lt;=DATE(2026,7,14),$E24&gt;=DATE(2026,7,8)),1,"")</f>
        <v/>
      </c>
      <c r="AG24">
        <f>IF(AND($D24&lt;=DATE(2026,7,21),$E24&gt;=DATE(2026,7,15)),1,"")</f>
        <v/>
      </c>
      <c r="AH24">
        <f>IF(AND($D24&lt;=DATE(2026,7,31),$E24&gt;=DATE(2026,7,22)),1,"")</f>
        <v/>
      </c>
      <c r="AI24">
        <f>IF(AND($D24&lt;=DATE(2026,8,7),$E24&gt;=DATE(2026,8,1)),1,"")</f>
        <v/>
      </c>
      <c r="AJ24">
        <f>IF(AND($D24&lt;=DATE(2026,8,14),$E24&gt;=DATE(2026,8,8)),1,"")</f>
        <v/>
      </c>
      <c r="AK24">
        <f>IF(AND($D24&lt;=DATE(2026,8,21),$E24&gt;=DATE(2026,8,15)),1,"")</f>
        <v/>
      </c>
      <c r="AL24">
        <f>IF(AND($D24&lt;=DATE(2026,8,31),$E24&gt;=DATE(2026,8,22)),1,"")</f>
        <v/>
      </c>
      <c r="AM24">
        <f>IF(AND($D24&lt;=DATE(2026,9,7),$E24&gt;=DATE(2026,9,1)),1,"")</f>
        <v/>
      </c>
      <c r="AN24">
        <f>IF(AND($D24&lt;=DATE(2026,9,14),$E24&gt;=DATE(2026,9,8)),1,"")</f>
        <v/>
      </c>
      <c r="AO24">
        <f>IF(AND($D24&lt;=DATE(2026,9,21),$E24&gt;=DATE(2026,9,15)),1,"")</f>
        <v/>
      </c>
      <c r="AP24">
        <f>IF(AND($D24&lt;=DATE(2026,9,30),$E24&gt;=DATE(2026,9,22)),1,"")</f>
        <v/>
      </c>
      <c r="AQ24">
        <f>IF(AND($D24&lt;=DATE(2026,10,7),$E24&gt;=DATE(2026,10,1)),1,"")</f>
        <v/>
      </c>
      <c r="AR24">
        <f>IF(AND($D24&lt;=DATE(2026,10,14),$E24&gt;=DATE(2026,10,8)),1,"")</f>
        <v/>
      </c>
      <c r="AS24">
        <f>IF(AND($D24&lt;=DATE(2026,10,21),$E24&gt;=DATE(2026,10,15)),1,"")</f>
        <v/>
      </c>
      <c r="AT24">
        <f>IF(AND($D24&lt;=DATE(2026,10,31),$E24&gt;=DATE(2026,10,22)),1,"")</f>
        <v/>
      </c>
      <c r="AU24">
        <f>IF(AND($D24&lt;=DATE(2026,11,7),$E24&gt;=DATE(2026,11,1)),1,"")</f>
        <v/>
      </c>
      <c r="AV24">
        <f>IF(AND($D24&lt;=DATE(2026,11,14),$E24&gt;=DATE(2026,11,8)),1,"")</f>
        <v/>
      </c>
      <c r="AW24">
        <f>IF(AND($D24&lt;=DATE(2026,11,21),$E24&gt;=DATE(2026,11,15)),1,"")</f>
        <v/>
      </c>
      <c r="AX24">
        <f>IF(AND($D24&lt;=DATE(2026,11,30),$E24&gt;=DATE(2026,11,22)),1,"")</f>
        <v/>
      </c>
      <c r="AY24">
        <f>IF(AND($D24&lt;=DATE(2026,12,7),$E24&gt;=DATE(2026,12,1)),1,"")</f>
        <v/>
      </c>
      <c r="AZ24">
        <f>IF(AND($D24&lt;=DATE(2026,12,14),$E24&gt;=DATE(2026,12,8)),1,"")</f>
        <v/>
      </c>
      <c r="BA24">
        <f>IF(AND($D24&lt;=DATE(2026,12,21),$E24&gt;=DATE(2026,12,15)),1,"")</f>
        <v/>
      </c>
      <c r="BB24">
        <f>IF(AND($D24&lt;=DATE(2026,12,31),$E24&gt;=DATE(2026,12,22)),1,"")</f>
        <v/>
      </c>
    </row>
    <row r="25" ht="15" customHeight="1">
      <c r="F25">
        <f>IF(OR(D25="",E25=""),"",E25-D25+1)</f>
        <v/>
      </c>
      <c r="G25">
        <f>IF(AND($D25&lt;=DATE(2026,1,7),$E25&gt;=DATE(2026,1,1)),1,"")</f>
        <v/>
      </c>
      <c r="H25">
        <f>IF(AND($D25&lt;=DATE(2026,1,14),$E25&gt;=DATE(2026,1,8)),1,"")</f>
        <v/>
      </c>
      <c r="I25">
        <f>IF(AND($D25&lt;=DATE(2026,1,21),$E25&gt;=DATE(2026,1,15)),1,"")</f>
        <v/>
      </c>
      <c r="J25">
        <f>IF(AND($D25&lt;=DATE(2026,1,31),$E25&gt;=DATE(2026,1,22)),1,"")</f>
        <v/>
      </c>
      <c r="K25">
        <f>IF(AND($D25&lt;=DATE(2026,2,7),$E25&gt;=DATE(2026,2,1)),1,"")</f>
        <v/>
      </c>
      <c r="L25">
        <f>IF(AND($D25&lt;=DATE(2026,2,14),$E25&gt;=DATE(2026,2,8)),1,"")</f>
        <v/>
      </c>
      <c r="M25">
        <f>IF(AND($D25&lt;=DATE(2026,2,21),$E25&gt;=DATE(2026,2,15)),1,"")</f>
        <v/>
      </c>
      <c r="N25">
        <f>IF(AND($D25&lt;=DATE(2026,2,28),$E25&gt;=DATE(2026,2,22)),1,"")</f>
        <v/>
      </c>
      <c r="O25">
        <f>IF(AND($D25&lt;=DATE(2026,3,7),$E25&gt;=DATE(2026,3,1)),1,"")</f>
        <v/>
      </c>
      <c r="P25">
        <f>IF(AND($D25&lt;=DATE(2026,3,14),$E25&gt;=DATE(2026,3,8)),1,"")</f>
        <v/>
      </c>
      <c r="Q25">
        <f>IF(AND($D25&lt;=DATE(2026,3,21),$E25&gt;=DATE(2026,3,15)),1,"")</f>
        <v/>
      </c>
      <c r="R25">
        <f>IF(AND($D25&lt;=DATE(2026,3,31),$E25&gt;=DATE(2026,3,22)),1,"")</f>
        <v/>
      </c>
      <c r="S25">
        <f>IF(AND($D25&lt;=DATE(2026,4,7),$E25&gt;=DATE(2026,4,1)),1,"")</f>
        <v/>
      </c>
      <c r="T25">
        <f>IF(AND($D25&lt;=DATE(2026,4,14),$E25&gt;=DATE(2026,4,8)),1,"")</f>
        <v/>
      </c>
      <c r="U25">
        <f>IF(AND($D25&lt;=DATE(2026,4,21),$E25&gt;=DATE(2026,4,15)),1,"")</f>
        <v/>
      </c>
      <c r="V25">
        <f>IF(AND($D25&lt;=DATE(2026,4,30),$E25&gt;=DATE(2026,4,22)),1,"")</f>
        <v/>
      </c>
      <c r="W25">
        <f>IF(AND($D25&lt;=DATE(2026,5,7),$E25&gt;=DATE(2026,5,1)),1,"")</f>
        <v/>
      </c>
      <c r="X25">
        <f>IF(AND($D25&lt;=DATE(2026,5,14),$E25&gt;=DATE(2026,5,8)),1,"")</f>
        <v/>
      </c>
      <c r="Y25">
        <f>IF(AND($D25&lt;=DATE(2026,5,21),$E25&gt;=DATE(2026,5,15)),1,"")</f>
        <v/>
      </c>
      <c r="Z25">
        <f>IF(AND($D25&lt;=DATE(2026,5,31),$E25&gt;=DATE(2026,5,22)),1,"")</f>
        <v/>
      </c>
      <c r="AA25">
        <f>IF(AND($D25&lt;=DATE(2026,6,7),$E25&gt;=DATE(2026,6,1)),1,"")</f>
        <v/>
      </c>
      <c r="AB25">
        <f>IF(AND($D25&lt;=DATE(2026,6,14),$E25&gt;=DATE(2026,6,8)),1,"")</f>
        <v/>
      </c>
      <c r="AC25">
        <f>IF(AND($D25&lt;=DATE(2026,6,21),$E25&gt;=DATE(2026,6,15)),1,"")</f>
        <v/>
      </c>
      <c r="AD25">
        <f>IF(AND($D25&lt;=DATE(2026,6,30),$E25&gt;=DATE(2026,6,22)),1,"")</f>
        <v/>
      </c>
      <c r="AE25">
        <f>IF(AND($D25&lt;=DATE(2026,7,7),$E25&gt;=DATE(2026,7,1)),1,"")</f>
        <v/>
      </c>
      <c r="AF25">
        <f>IF(AND($D25&lt;=DATE(2026,7,14),$E25&gt;=DATE(2026,7,8)),1,"")</f>
        <v/>
      </c>
      <c r="AG25">
        <f>IF(AND($D25&lt;=DATE(2026,7,21),$E25&gt;=DATE(2026,7,15)),1,"")</f>
        <v/>
      </c>
      <c r="AH25">
        <f>IF(AND($D25&lt;=DATE(2026,7,31),$E25&gt;=DATE(2026,7,22)),1,"")</f>
        <v/>
      </c>
      <c r="AI25">
        <f>IF(AND($D25&lt;=DATE(2026,8,7),$E25&gt;=DATE(2026,8,1)),1,"")</f>
        <v/>
      </c>
      <c r="AJ25">
        <f>IF(AND($D25&lt;=DATE(2026,8,14),$E25&gt;=DATE(2026,8,8)),1,"")</f>
        <v/>
      </c>
      <c r="AK25">
        <f>IF(AND($D25&lt;=DATE(2026,8,21),$E25&gt;=DATE(2026,8,15)),1,"")</f>
        <v/>
      </c>
      <c r="AL25">
        <f>IF(AND($D25&lt;=DATE(2026,8,31),$E25&gt;=DATE(2026,8,22)),1,"")</f>
        <v/>
      </c>
      <c r="AM25">
        <f>IF(AND($D25&lt;=DATE(2026,9,7),$E25&gt;=DATE(2026,9,1)),1,"")</f>
        <v/>
      </c>
      <c r="AN25">
        <f>IF(AND($D25&lt;=DATE(2026,9,14),$E25&gt;=DATE(2026,9,8)),1,"")</f>
        <v/>
      </c>
      <c r="AO25">
        <f>IF(AND($D25&lt;=DATE(2026,9,21),$E25&gt;=DATE(2026,9,15)),1,"")</f>
        <v/>
      </c>
      <c r="AP25">
        <f>IF(AND($D25&lt;=DATE(2026,9,30),$E25&gt;=DATE(2026,9,22)),1,"")</f>
        <v/>
      </c>
      <c r="AQ25">
        <f>IF(AND($D25&lt;=DATE(2026,10,7),$E25&gt;=DATE(2026,10,1)),1,"")</f>
        <v/>
      </c>
      <c r="AR25">
        <f>IF(AND($D25&lt;=DATE(2026,10,14),$E25&gt;=DATE(2026,10,8)),1,"")</f>
        <v/>
      </c>
      <c r="AS25">
        <f>IF(AND($D25&lt;=DATE(2026,10,21),$E25&gt;=DATE(2026,10,15)),1,"")</f>
        <v/>
      </c>
      <c r="AT25">
        <f>IF(AND($D25&lt;=DATE(2026,10,31),$E25&gt;=DATE(2026,10,22)),1,"")</f>
        <v/>
      </c>
      <c r="AU25">
        <f>IF(AND($D25&lt;=DATE(2026,11,7),$E25&gt;=DATE(2026,11,1)),1,"")</f>
        <v/>
      </c>
      <c r="AV25">
        <f>IF(AND($D25&lt;=DATE(2026,11,14),$E25&gt;=DATE(2026,11,8)),1,"")</f>
        <v/>
      </c>
      <c r="AW25">
        <f>IF(AND($D25&lt;=DATE(2026,11,21),$E25&gt;=DATE(2026,11,15)),1,"")</f>
        <v/>
      </c>
      <c r="AX25">
        <f>IF(AND($D25&lt;=DATE(2026,11,30),$E25&gt;=DATE(2026,11,22)),1,"")</f>
        <v/>
      </c>
      <c r="AY25">
        <f>IF(AND($D25&lt;=DATE(2026,12,7),$E25&gt;=DATE(2026,12,1)),1,"")</f>
        <v/>
      </c>
      <c r="AZ25">
        <f>IF(AND($D25&lt;=DATE(2026,12,14),$E25&gt;=DATE(2026,12,8)),1,"")</f>
        <v/>
      </c>
      <c r="BA25">
        <f>IF(AND($D25&lt;=DATE(2026,12,21),$E25&gt;=DATE(2026,12,15)),1,"")</f>
        <v/>
      </c>
      <c r="BB25">
        <f>IF(AND($D25&lt;=DATE(2026,12,31),$E25&gt;=DATE(2026,12,22)),1,"")</f>
        <v/>
      </c>
    </row>
    <row r="26" ht="15" customHeight="1">
      <c r="F26">
        <f>IF(OR(D26="",E26=""),"",E26-D26+1)</f>
        <v/>
      </c>
      <c r="G26">
        <f>IF(AND($D26&lt;=DATE(2026,1,7),$E26&gt;=DATE(2026,1,1)),1,"")</f>
        <v/>
      </c>
      <c r="H26">
        <f>IF(AND($D26&lt;=DATE(2026,1,14),$E26&gt;=DATE(2026,1,8)),1,"")</f>
        <v/>
      </c>
      <c r="I26">
        <f>IF(AND($D26&lt;=DATE(2026,1,21),$E26&gt;=DATE(2026,1,15)),1,"")</f>
        <v/>
      </c>
      <c r="J26">
        <f>IF(AND($D26&lt;=DATE(2026,1,31),$E26&gt;=DATE(2026,1,22)),1,"")</f>
        <v/>
      </c>
      <c r="K26">
        <f>IF(AND($D26&lt;=DATE(2026,2,7),$E26&gt;=DATE(2026,2,1)),1,"")</f>
        <v/>
      </c>
      <c r="L26">
        <f>IF(AND($D26&lt;=DATE(2026,2,14),$E26&gt;=DATE(2026,2,8)),1,"")</f>
        <v/>
      </c>
      <c r="M26">
        <f>IF(AND($D26&lt;=DATE(2026,2,21),$E26&gt;=DATE(2026,2,15)),1,"")</f>
        <v/>
      </c>
      <c r="N26">
        <f>IF(AND($D26&lt;=DATE(2026,2,28),$E26&gt;=DATE(2026,2,22)),1,"")</f>
        <v/>
      </c>
      <c r="O26">
        <f>IF(AND($D26&lt;=DATE(2026,3,7),$E26&gt;=DATE(2026,3,1)),1,"")</f>
        <v/>
      </c>
      <c r="P26">
        <f>IF(AND($D26&lt;=DATE(2026,3,14),$E26&gt;=DATE(2026,3,8)),1,"")</f>
        <v/>
      </c>
      <c r="Q26">
        <f>IF(AND($D26&lt;=DATE(2026,3,21),$E26&gt;=DATE(2026,3,15)),1,"")</f>
        <v/>
      </c>
      <c r="R26">
        <f>IF(AND($D26&lt;=DATE(2026,3,31),$E26&gt;=DATE(2026,3,22)),1,"")</f>
        <v/>
      </c>
      <c r="S26">
        <f>IF(AND($D26&lt;=DATE(2026,4,7),$E26&gt;=DATE(2026,4,1)),1,"")</f>
        <v/>
      </c>
      <c r="T26">
        <f>IF(AND($D26&lt;=DATE(2026,4,14),$E26&gt;=DATE(2026,4,8)),1,"")</f>
        <v/>
      </c>
      <c r="U26">
        <f>IF(AND($D26&lt;=DATE(2026,4,21),$E26&gt;=DATE(2026,4,15)),1,"")</f>
        <v/>
      </c>
      <c r="V26">
        <f>IF(AND($D26&lt;=DATE(2026,4,30),$E26&gt;=DATE(2026,4,22)),1,"")</f>
        <v/>
      </c>
      <c r="W26">
        <f>IF(AND($D26&lt;=DATE(2026,5,7),$E26&gt;=DATE(2026,5,1)),1,"")</f>
        <v/>
      </c>
      <c r="X26">
        <f>IF(AND($D26&lt;=DATE(2026,5,14),$E26&gt;=DATE(2026,5,8)),1,"")</f>
        <v/>
      </c>
      <c r="Y26">
        <f>IF(AND($D26&lt;=DATE(2026,5,21),$E26&gt;=DATE(2026,5,15)),1,"")</f>
        <v/>
      </c>
      <c r="Z26">
        <f>IF(AND($D26&lt;=DATE(2026,5,31),$E26&gt;=DATE(2026,5,22)),1,"")</f>
        <v/>
      </c>
      <c r="AA26">
        <f>IF(AND($D26&lt;=DATE(2026,6,7),$E26&gt;=DATE(2026,6,1)),1,"")</f>
        <v/>
      </c>
      <c r="AB26">
        <f>IF(AND($D26&lt;=DATE(2026,6,14),$E26&gt;=DATE(2026,6,8)),1,"")</f>
        <v/>
      </c>
      <c r="AC26">
        <f>IF(AND($D26&lt;=DATE(2026,6,21),$E26&gt;=DATE(2026,6,15)),1,"")</f>
        <v/>
      </c>
      <c r="AD26">
        <f>IF(AND($D26&lt;=DATE(2026,6,30),$E26&gt;=DATE(2026,6,22)),1,"")</f>
        <v/>
      </c>
      <c r="AE26">
        <f>IF(AND($D26&lt;=DATE(2026,7,7),$E26&gt;=DATE(2026,7,1)),1,"")</f>
        <v/>
      </c>
      <c r="AF26">
        <f>IF(AND($D26&lt;=DATE(2026,7,14),$E26&gt;=DATE(2026,7,8)),1,"")</f>
        <v/>
      </c>
      <c r="AG26">
        <f>IF(AND($D26&lt;=DATE(2026,7,21),$E26&gt;=DATE(2026,7,15)),1,"")</f>
        <v/>
      </c>
      <c r="AH26">
        <f>IF(AND($D26&lt;=DATE(2026,7,31),$E26&gt;=DATE(2026,7,22)),1,"")</f>
        <v/>
      </c>
      <c r="AI26">
        <f>IF(AND($D26&lt;=DATE(2026,8,7),$E26&gt;=DATE(2026,8,1)),1,"")</f>
        <v/>
      </c>
      <c r="AJ26">
        <f>IF(AND($D26&lt;=DATE(2026,8,14),$E26&gt;=DATE(2026,8,8)),1,"")</f>
        <v/>
      </c>
      <c r="AK26">
        <f>IF(AND($D26&lt;=DATE(2026,8,21),$E26&gt;=DATE(2026,8,15)),1,"")</f>
        <v/>
      </c>
      <c r="AL26">
        <f>IF(AND($D26&lt;=DATE(2026,8,31),$E26&gt;=DATE(2026,8,22)),1,"")</f>
        <v/>
      </c>
      <c r="AM26">
        <f>IF(AND($D26&lt;=DATE(2026,9,7),$E26&gt;=DATE(2026,9,1)),1,"")</f>
        <v/>
      </c>
      <c r="AN26">
        <f>IF(AND($D26&lt;=DATE(2026,9,14),$E26&gt;=DATE(2026,9,8)),1,"")</f>
        <v/>
      </c>
      <c r="AO26">
        <f>IF(AND($D26&lt;=DATE(2026,9,21),$E26&gt;=DATE(2026,9,15)),1,"")</f>
        <v/>
      </c>
      <c r="AP26">
        <f>IF(AND($D26&lt;=DATE(2026,9,30),$E26&gt;=DATE(2026,9,22)),1,"")</f>
        <v/>
      </c>
      <c r="AQ26">
        <f>IF(AND($D26&lt;=DATE(2026,10,7),$E26&gt;=DATE(2026,10,1)),1,"")</f>
        <v/>
      </c>
      <c r="AR26">
        <f>IF(AND($D26&lt;=DATE(2026,10,14),$E26&gt;=DATE(2026,10,8)),1,"")</f>
        <v/>
      </c>
      <c r="AS26">
        <f>IF(AND($D26&lt;=DATE(2026,10,21),$E26&gt;=DATE(2026,10,15)),1,"")</f>
        <v/>
      </c>
      <c r="AT26">
        <f>IF(AND($D26&lt;=DATE(2026,10,31),$E26&gt;=DATE(2026,10,22)),1,"")</f>
        <v/>
      </c>
      <c r="AU26">
        <f>IF(AND($D26&lt;=DATE(2026,11,7),$E26&gt;=DATE(2026,11,1)),1,"")</f>
        <v/>
      </c>
      <c r="AV26">
        <f>IF(AND($D26&lt;=DATE(2026,11,14),$E26&gt;=DATE(2026,11,8)),1,"")</f>
        <v/>
      </c>
      <c r="AW26">
        <f>IF(AND($D26&lt;=DATE(2026,11,21),$E26&gt;=DATE(2026,11,15)),1,"")</f>
        <v/>
      </c>
      <c r="AX26">
        <f>IF(AND($D26&lt;=DATE(2026,11,30),$E26&gt;=DATE(2026,11,22)),1,"")</f>
        <v/>
      </c>
      <c r="AY26">
        <f>IF(AND($D26&lt;=DATE(2026,12,7),$E26&gt;=DATE(2026,12,1)),1,"")</f>
        <v/>
      </c>
      <c r="AZ26">
        <f>IF(AND($D26&lt;=DATE(2026,12,14),$E26&gt;=DATE(2026,12,8)),1,"")</f>
        <v/>
      </c>
      <c r="BA26">
        <f>IF(AND($D26&lt;=DATE(2026,12,21),$E26&gt;=DATE(2026,12,15)),1,"")</f>
        <v/>
      </c>
      <c r="BB26">
        <f>IF(AND($D26&lt;=DATE(2026,12,31),$E26&gt;=DATE(2026,12,22)),1,"")</f>
        <v/>
      </c>
    </row>
    <row r="27" ht="15" customHeight="1">
      <c r="F27">
        <f>IF(OR(D27="",E27=""),"",E27-D27+1)</f>
        <v/>
      </c>
      <c r="G27">
        <f>IF(AND($D27&lt;=DATE(2026,1,7),$E27&gt;=DATE(2026,1,1)),1,"")</f>
        <v/>
      </c>
      <c r="H27">
        <f>IF(AND($D27&lt;=DATE(2026,1,14),$E27&gt;=DATE(2026,1,8)),1,"")</f>
        <v/>
      </c>
      <c r="I27">
        <f>IF(AND($D27&lt;=DATE(2026,1,21),$E27&gt;=DATE(2026,1,15)),1,"")</f>
        <v/>
      </c>
      <c r="J27">
        <f>IF(AND($D27&lt;=DATE(2026,1,31),$E27&gt;=DATE(2026,1,22)),1,"")</f>
        <v/>
      </c>
      <c r="K27">
        <f>IF(AND($D27&lt;=DATE(2026,2,7),$E27&gt;=DATE(2026,2,1)),1,"")</f>
        <v/>
      </c>
      <c r="L27">
        <f>IF(AND($D27&lt;=DATE(2026,2,14),$E27&gt;=DATE(2026,2,8)),1,"")</f>
        <v/>
      </c>
      <c r="M27">
        <f>IF(AND($D27&lt;=DATE(2026,2,21),$E27&gt;=DATE(2026,2,15)),1,"")</f>
        <v/>
      </c>
      <c r="N27">
        <f>IF(AND($D27&lt;=DATE(2026,2,28),$E27&gt;=DATE(2026,2,22)),1,"")</f>
        <v/>
      </c>
      <c r="O27">
        <f>IF(AND($D27&lt;=DATE(2026,3,7),$E27&gt;=DATE(2026,3,1)),1,"")</f>
        <v/>
      </c>
      <c r="P27">
        <f>IF(AND($D27&lt;=DATE(2026,3,14),$E27&gt;=DATE(2026,3,8)),1,"")</f>
        <v/>
      </c>
      <c r="Q27">
        <f>IF(AND($D27&lt;=DATE(2026,3,21),$E27&gt;=DATE(2026,3,15)),1,"")</f>
        <v/>
      </c>
      <c r="R27">
        <f>IF(AND($D27&lt;=DATE(2026,3,31),$E27&gt;=DATE(2026,3,22)),1,"")</f>
        <v/>
      </c>
      <c r="S27">
        <f>IF(AND($D27&lt;=DATE(2026,4,7),$E27&gt;=DATE(2026,4,1)),1,"")</f>
        <v/>
      </c>
      <c r="T27">
        <f>IF(AND($D27&lt;=DATE(2026,4,14),$E27&gt;=DATE(2026,4,8)),1,"")</f>
        <v/>
      </c>
      <c r="U27">
        <f>IF(AND($D27&lt;=DATE(2026,4,21),$E27&gt;=DATE(2026,4,15)),1,"")</f>
        <v/>
      </c>
      <c r="V27">
        <f>IF(AND($D27&lt;=DATE(2026,4,30),$E27&gt;=DATE(2026,4,22)),1,"")</f>
        <v/>
      </c>
      <c r="W27">
        <f>IF(AND($D27&lt;=DATE(2026,5,7),$E27&gt;=DATE(2026,5,1)),1,"")</f>
        <v/>
      </c>
      <c r="X27">
        <f>IF(AND($D27&lt;=DATE(2026,5,14),$E27&gt;=DATE(2026,5,8)),1,"")</f>
        <v/>
      </c>
      <c r="Y27">
        <f>IF(AND($D27&lt;=DATE(2026,5,21),$E27&gt;=DATE(2026,5,15)),1,"")</f>
        <v/>
      </c>
      <c r="Z27">
        <f>IF(AND($D27&lt;=DATE(2026,5,31),$E27&gt;=DATE(2026,5,22)),1,"")</f>
        <v/>
      </c>
      <c r="AA27">
        <f>IF(AND($D27&lt;=DATE(2026,6,7),$E27&gt;=DATE(2026,6,1)),1,"")</f>
        <v/>
      </c>
      <c r="AB27">
        <f>IF(AND($D27&lt;=DATE(2026,6,14),$E27&gt;=DATE(2026,6,8)),1,"")</f>
        <v/>
      </c>
      <c r="AC27">
        <f>IF(AND($D27&lt;=DATE(2026,6,21),$E27&gt;=DATE(2026,6,15)),1,"")</f>
        <v/>
      </c>
      <c r="AD27">
        <f>IF(AND($D27&lt;=DATE(2026,6,30),$E27&gt;=DATE(2026,6,22)),1,"")</f>
        <v/>
      </c>
      <c r="AE27">
        <f>IF(AND($D27&lt;=DATE(2026,7,7),$E27&gt;=DATE(2026,7,1)),1,"")</f>
        <v/>
      </c>
      <c r="AF27">
        <f>IF(AND($D27&lt;=DATE(2026,7,14),$E27&gt;=DATE(2026,7,8)),1,"")</f>
        <v/>
      </c>
      <c r="AG27">
        <f>IF(AND($D27&lt;=DATE(2026,7,21),$E27&gt;=DATE(2026,7,15)),1,"")</f>
        <v/>
      </c>
      <c r="AH27">
        <f>IF(AND($D27&lt;=DATE(2026,7,31),$E27&gt;=DATE(2026,7,22)),1,"")</f>
        <v/>
      </c>
      <c r="AI27">
        <f>IF(AND($D27&lt;=DATE(2026,8,7),$E27&gt;=DATE(2026,8,1)),1,"")</f>
        <v/>
      </c>
      <c r="AJ27">
        <f>IF(AND($D27&lt;=DATE(2026,8,14),$E27&gt;=DATE(2026,8,8)),1,"")</f>
        <v/>
      </c>
      <c r="AK27">
        <f>IF(AND($D27&lt;=DATE(2026,8,21),$E27&gt;=DATE(2026,8,15)),1,"")</f>
        <v/>
      </c>
      <c r="AL27">
        <f>IF(AND($D27&lt;=DATE(2026,8,31),$E27&gt;=DATE(2026,8,22)),1,"")</f>
        <v/>
      </c>
      <c r="AM27">
        <f>IF(AND($D27&lt;=DATE(2026,9,7),$E27&gt;=DATE(2026,9,1)),1,"")</f>
        <v/>
      </c>
      <c r="AN27">
        <f>IF(AND($D27&lt;=DATE(2026,9,14),$E27&gt;=DATE(2026,9,8)),1,"")</f>
        <v/>
      </c>
      <c r="AO27">
        <f>IF(AND($D27&lt;=DATE(2026,9,21),$E27&gt;=DATE(2026,9,15)),1,"")</f>
        <v/>
      </c>
      <c r="AP27">
        <f>IF(AND($D27&lt;=DATE(2026,9,30),$E27&gt;=DATE(2026,9,22)),1,"")</f>
        <v/>
      </c>
      <c r="AQ27">
        <f>IF(AND($D27&lt;=DATE(2026,10,7),$E27&gt;=DATE(2026,10,1)),1,"")</f>
        <v/>
      </c>
      <c r="AR27">
        <f>IF(AND($D27&lt;=DATE(2026,10,14),$E27&gt;=DATE(2026,10,8)),1,"")</f>
        <v/>
      </c>
      <c r="AS27">
        <f>IF(AND($D27&lt;=DATE(2026,10,21),$E27&gt;=DATE(2026,10,15)),1,"")</f>
        <v/>
      </c>
      <c r="AT27">
        <f>IF(AND($D27&lt;=DATE(2026,10,31),$E27&gt;=DATE(2026,10,22)),1,"")</f>
        <v/>
      </c>
      <c r="AU27">
        <f>IF(AND($D27&lt;=DATE(2026,11,7),$E27&gt;=DATE(2026,11,1)),1,"")</f>
        <v/>
      </c>
      <c r="AV27">
        <f>IF(AND($D27&lt;=DATE(2026,11,14),$E27&gt;=DATE(2026,11,8)),1,"")</f>
        <v/>
      </c>
      <c r="AW27">
        <f>IF(AND($D27&lt;=DATE(2026,11,21),$E27&gt;=DATE(2026,11,15)),1,"")</f>
        <v/>
      </c>
      <c r="AX27">
        <f>IF(AND($D27&lt;=DATE(2026,11,30),$E27&gt;=DATE(2026,11,22)),1,"")</f>
        <v/>
      </c>
      <c r="AY27">
        <f>IF(AND($D27&lt;=DATE(2026,12,7),$E27&gt;=DATE(2026,12,1)),1,"")</f>
        <v/>
      </c>
      <c r="AZ27">
        <f>IF(AND($D27&lt;=DATE(2026,12,14),$E27&gt;=DATE(2026,12,8)),1,"")</f>
        <v/>
      </c>
      <c r="BA27">
        <f>IF(AND($D27&lt;=DATE(2026,12,21),$E27&gt;=DATE(2026,12,15)),1,"")</f>
        <v/>
      </c>
      <c r="BB27">
        <f>IF(AND($D27&lt;=DATE(2026,12,31),$E27&gt;=DATE(2026,12,22)),1,"")</f>
        <v/>
      </c>
    </row>
    <row r="28" ht="15" customHeight="1">
      <c r="F28">
        <f>IF(OR(D28="",E28=""),"",E28-D28+1)</f>
        <v/>
      </c>
      <c r="G28">
        <f>IF(AND($D28&lt;=DATE(2026,1,7),$E28&gt;=DATE(2026,1,1)),1,"")</f>
        <v/>
      </c>
      <c r="H28">
        <f>IF(AND($D28&lt;=DATE(2026,1,14),$E28&gt;=DATE(2026,1,8)),1,"")</f>
        <v/>
      </c>
      <c r="I28">
        <f>IF(AND($D28&lt;=DATE(2026,1,21),$E28&gt;=DATE(2026,1,15)),1,"")</f>
        <v/>
      </c>
      <c r="J28">
        <f>IF(AND($D28&lt;=DATE(2026,1,31),$E28&gt;=DATE(2026,1,22)),1,"")</f>
        <v/>
      </c>
      <c r="K28">
        <f>IF(AND($D28&lt;=DATE(2026,2,7),$E28&gt;=DATE(2026,2,1)),1,"")</f>
        <v/>
      </c>
      <c r="L28">
        <f>IF(AND($D28&lt;=DATE(2026,2,14),$E28&gt;=DATE(2026,2,8)),1,"")</f>
        <v/>
      </c>
      <c r="M28">
        <f>IF(AND($D28&lt;=DATE(2026,2,21),$E28&gt;=DATE(2026,2,15)),1,"")</f>
        <v/>
      </c>
      <c r="N28">
        <f>IF(AND($D28&lt;=DATE(2026,2,28),$E28&gt;=DATE(2026,2,22)),1,"")</f>
        <v/>
      </c>
      <c r="O28">
        <f>IF(AND($D28&lt;=DATE(2026,3,7),$E28&gt;=DATE(2026,3,1)),1,"")</f>
        <v/>
      </c>
      <c r="P28">
        <f>IF(AND($D28&lt;=DATE(2026,3,14),$E28&gt;=DATE(2026,3,8)),1,"")</f>
        <v/>
      </c>
      <c r="Q28">
        <f>IF(AND($D28&lt;=DATE(2026,3,21),$E28&gt;=DATE(2026,3,15)),1,"")</f>
        <v/>
      </c>
      <c r="R28">
        <f>IF(AND($D28&lt;=DATE(2026,3,31),$E28&gt;=DATE(2026,3,22)),1,"")</f>
        <v/>
      </c>
      <c r="S28">
        <f>IF(AND($D28&lt;=DATE(2026,4,7),$E28&gt;=DATE(2026,4,1)),1,"")</f>
        <v/>
      </c>
      <c r="T28">
        <f>IF(AND($D28&lt;=DATE(2026,4,14),$E28&gt;=DATE(2026,4,8)),1,"")</f>
        <v/>
      </c>
      <c r="U28">
        <f>IF(AND($D28&lt;=DATE(2026,4,21),$E28&gt;=DATE(2026,4,15)),1,"")</f>
        <v/>
      </c>
      <c r="V28">
        <f>IF(AND($D28&lt;=DATE(2026,4,30),$E28&gt;=DATE(2026,4,22)),1,"")</f>
        <v/>
      </c>
      <c r="W28">
        <f>IF(AND($D28&lt;=DATE(2026,5,7),$E28&gt;=DATE(2026,5,1)),1,"")</f>
        <v/>
      </c>
      <c r="X28">
        <f>IF(AND($D28&lt;=DATE(2026,5,14),$E28&gt;=DATE(2026,5,8)),1,"")</f>
        <v/>
      </c>
      <c r="Y28">
        <f>IF(AND($D28&lt;=DATE(2026,5,21),$E28&gt;=DATE(2026,5,15)),1,"")</f>
        <v/>
      </c>
      <c r="Z28">
        <f>IF(AND($D28&lt;=DATE(2026,5,31),$E28&gt;=DATE(2026,5,22)),1,"")</f>
        <v/>
      </c>
      <c r="AA28">
        <f>IF(AND($D28&lt;=DATE(2026,6,7),$E28&gt;=DATE(2026,6,1)),1,"")</f>
        <v/>
      </c>
      <c r="AB28">
        <f>IF(AND($D28&lt;=DATE(2026,6,14),$E28&gt;=DATE(2026,6,8)),1,"")</f>
        <v/>
      </c>
      <c r="AC28">
        <f>IF(AND($D28&lt;=DATE(2026,6,21),$E28&gt;=DATE(2026,6,15)),1,"")</f>
        <v/>
      </c>
      <c r="AD28">
        <f>IF(AND($D28&lt;=DATE(2026,6,30),$E28&gt;=DATE(2026,6,22)),1,"")</f>
        <v/>
      </c>
      <c r="AE28">
        <f>IF(AND($D28&lt;=DATE(2026,7,7),$E28&gt;=DATE(2026,7,1)),1,"")</f>
        <v/>
      </c>
      <c r="AF28">
        <f>IF(AND($D28&lt;=DATE(2026,7,14),$E28&gt;=DATE(2026,7,8)),1,"")</f>
        <v/>
      </c>
      <c r="AG28">
        <f>IF(AND($D28&lt;=DATE(2026,7,21),$E28&gt;=DATE(2026,7,15)),1,"")</f>
        <v/>
      </c>
      <c r="AH28">
        <f>IF(AND($D28&lt;=DATE(2026,7,31),$E28&gt;=DATE(2026,7,22)),1,"")</f>
        <v/>
      </c>
      <c r="AI28">
        <f>IF(AND($D28&lt;=DATE(2026,8,7),$E28&gt;=DATE(2026,8,1)),1,"")</f>
        <v/>
      </c>
      <c r="AJ28">
        <f>IF(AND($D28&lt;=DATE(2026,8,14),$E28&gt;=DATE(2026,8,8)),1,"")</f>
        <v/>
      </c>
      <c r="AK28">
        <f>IF(AND($D28&lt;=DATE(2026,8,21),$E28&gt;=DATE(2026,8,15)),1,"")</f>
        <v/>
      </c>
      <c r="AL28">
        <f>IF(AND($D28&lt;=DATE(2026,8,31),$E28&gt;=DATE(2026,8,22)),1,"")</f>
        <v/>
      </c>
      <c r="AM28">
        <f>IF(AND($D28&lt;=DATE(2026,9,7),$E28&gt;=DATE(2026,9,1)),1,"")</f>
        <v/>
      </c>
      <c r="AN28">
        <f>IF(AND($D28&lt;=DATE(2026,9,14),$E28&gt;=DATE(2026,9,8)),1,"")</f>
        <v/>
      </c>
      <c r="AO28">
        <f>IF(AND($D28&lt;=DATE(2026,9,21),$E28&gt;=DATE(2026,9,15)),1,"")</f>
        <v/>
      </c>
      <c r="AP28">
        <f>IF(AND($D28&lt;=DATE(2026,9,30),$E28&gt;=DATE(2026,9,22)),1,"")</f>
        <v/>
      </c>
      <c r="AQ28">
        <f>IF(AND($D28&lt;=DATE(2026,10,7),$E28&gt;=DATE(2026,10,1)),1,"")</f>
        <v/>
      </c>
      <c r="AR28">
        <f>IF(AND($D28&lt;=DATE(2026,10,14),$E28&gt;=DATE(2026,10,8)),1,"")</f>
        <v/>
      </c>
      <c r="AS28">
        <f>IF(AND($D28&lt;=DATE(2026,10,21),$E28&gt;=DATE(2026,10,15)),1,"")</f>
        <v/>
      </c>
      <c r="AT28">
        <f>IF(AND($D28&lt;=DATE(2026,10,31),$E28&gt;=DATE(2026,10,22)),1,"")</f>
        <v/>
      </c>
      <c r="AU28">
        <f>IF(AND($D28&lt;=DATE(2026,11,7),$E28&gt;=DATE(2026,11,1)),1,"")</f>
        <v/>
      </c>
      <c r="AV28">
        <f>IF(AND($D28&lt;=DATE(2026,11,14),$E28&gt;=DATE(2026,11,8)),1,"")</f>
        <v/>
      </c>
      <c r="AW28">
        <f>IF(AND($D28&lt;=DATE(2026,11,21),$E28&gt;=DATE(2026,11,15)),1,"")</f>
        <v/>
      </c>
      <c r="AX28">
        <f>IF(AND($D28&lt;=DATE(2026,11,30),$E28&gt;=DATE(2026,11,22)),1,"")</f>
        <v/>
      </c>
      <c r="AY28">
        <f>IF(AND($D28&lt;=DATE(2026,12,7),$E28&gt;=DATE(2026,12,1)),1,"")</f>
        <v/>
      </c>
      <c r="AZ28">
        <f>IF(AND($D28&lt;=DATE(2026,12,14),$E28&gt;=DATE(2026,12,8)),1,"")</f>
        <v/>
      </c>
      <c r="BA28">
        <f>IF(AND($D28&lt;=DATE(2026,12,21),$E28&gt;=DATE(2026,12,15)),1,"")</f>
        <v/>
      </c>
      <c r="BB28">
        <f>IF(AND($D28&lt;=DATE(2026,12,31),$E28&gt;=DATE(2026,12,22)),1,"")</f>
        <v/>
      </c>
    </row>
    <row r="29" ht="15" customHeight="1">
      <c r="F29">
        <f>IF(OR(D29="",E29=""),"",E29-D29+1)</f>
        <v/>
      </c>
      <c r="G29">
        <f>IF(AND($D29&lt;=DATE(2026,1,7),$E29&gt;=DATE(2026,1,1)),1,"")</f>
        <v/>
      </c>
      <c r="H29">
        <f>IF(AND($D29&lt;=DATE(2026,1,14),$E29&gt;=DATE(2026,1,8)),1,"")</f>
        <v/>
      </c>
      <c r="I29">
        <f>IF(AND($D29&lt;=DATE(2026,1,21),$E29&gt;=DATE(2026,1,15)),1,"")</f>
        <v/>
      </c>
      <c r="J29">
        <f>IF(AND($D29&lt;=DATE(2026,1,31),$E29&gt;=DATE(2026,1,22)),1,"")</f>
        <v/>
      </c>
      <c r="K29">
        <f>IF(AND($D29&lt;=DATE(2026,2,7),$E29&gt;=DATE(2026,2,1)),1,"")</f>
        <v/>
      </c>
      <c r="L29">
        <f>IF(AND($D29&lt;=DATE(2026,2,14),$E29&gt;=DATE(2026,2,8)),1,"")</f>
        <v/>
      </c>
      <c r="M29">
        <f>IF(AND($D29&lt;=DATE(2026,2,21),$E29&gt;=DATE(2026,2,15)),1,"")</f>
        <v/>
      </c>
      <c r="N29">
        <f>IF(AND($D29&lt;=DATE(2026,2,28),$E29&gt;=DATE(2026,2,22)),1,"")</f>
        <v/>
      </c>
      <c r="O29">
        <f>IF(AND($D29&lt;=DATE(2026,3,7),$E29&gt;=DATE(2026,3,1)),1,"")</f>
        <v/>
      </c>
      <c r="P29">
        <f>IF(AND($D29&lt;=DATE(2026,3,14),$E29&gt;=DATE(2026,3,8)),1,"")</f>
        <v/>
      </c>
      <c r="Q29">
        <f>IF(AND($D29&lt;=DATE(2026,3,21),$E29&gt;=DATE(2026,3,15)),1,"")</f>
        <v/>
      </c>
      <c r="R29">
        <f>IF(AND($D29&lt;=DATE(2026,3,31),$E29&gt;=DATE(2026,3,22)),1,"")</f>
        <v/>
      </c>
      <c r="S29">
        <f>IF(AND($D29&lt;=DATE(2026,4,7),$E29&gt;=DATE(2026,4,1)),1,"")</f>
        <v/>
      </c>
      <c r="T29">
        <f>IF(AND($D29&lt;=DATE(2026,4,14),$E29&gt;=DATE(2026,4,8)),1,"")</f>
        <v/>
      </c>
      <c r="U29">
        <f>IF(AND($D29&lt;=DATE(2026,4,21),$E29&gt;=DATE(2026,4,15)),1,"")</f>
        <v/>
      </c>
      <c r="V29">
        <f>IF(AND($D29&lt;=DATE(2026,4,30),$E29&gt;=DATE(2026,4,22)),1,"")</f>
        <v/>
      </c>
      <c r="W29">
        <f>IF(AND($D29&lt;=DATE(2026,5,7),$E29&gt;=DATE(2026,5,1)),1,"")</f>
        <v/>
      </c>
      <c r="X29">
        <f>IF(AND($D29&lt;=DATE(2026,5,14),$E29&gt;=DATE(2026,5,8)),1,"")</f>
        <v/>
      </c>
      <c r="Y29">
        <f>IF(AND($D29&lt;=DATE(2026,5,21),$E29&gt;=DATE(2026,5,15)),1,"")</f>
        <v/>
      </c>
      <c r="Z29">
        <f>IF(AND($D29&lt;=DATE(2026,5,31),$E29&gt;=DATE(2026,5,22)),1,"")</f>
        <v/>
      </c>
      <c r="AA29">
        <f>IF(AND($D29&lt;=DATE(2026,6,7),$E29&gt;=DATE(2026,6,1)),1,"")</f>
        <v/>
      </c>
      <c r="AB29">
        <f>IF(AND($D29&lt;=DATE(2026,6,14),$E29&gt;=DATE(2026,6,8)),1,"")</f>
        <v/>
      </c>
      <c r="AC29">
        <f>IF(AND($D29&lt;=DATE(2026,6,21),$E29&gt;=DATE(2026,6,15)),1,"")</f>
        <v/>
      </c>
      <c r="AD29">
        <f>IF(AND($D29&lt;=DATE(2026,6,30),$E29&gt;=DATE(2026,6,22)),1,"")</f>
        <v/>
      </c>
      <c r="AE29">
        <f>IF(AND($D29&lt;=DATE(2026,7,7),$E29&gt;=DATE(2026,7,1)),1,"")</f>
        <v/>
      </c>
      <c r="AF29">
        <f>IF(AND($D29&lt;=DATE(2026,7,14),$E29&gt;=DATE(2026,7,8)),1,"")</f>
        <v/>
      </c>
      <c r="AG29">
        <f>IF(AND($D29&lt;=DATE(2026,7,21),$E29&gt;=DATE(2026,7,15)),1,"")</f>
        <v/>
      </c>
      <c r="AH29">
        <f>IF(AND($D29&lt;=DATE(2026,7,31),$E29&gt;=DATE(2026,7,22)),1,"")</f>
        <v/>
      </c>
      <c r="AI29">
        <f>IF(AND($D29&lt;=DATE(2026,8,7),$E29&gt;=DATE(2026,8,1)),1,"")</f>
        <v/>
      </c>
      <c r="AJ29">
        <f>IF(AND($D29&lt;=DATE(2026,8,14),$E29&gt;=DATE(2026,8,8)),1,"")</f>
        <v/>
      </c>
      <c r="AK29">
        <f>IF(AND($D29&lt;=DATE(2026,8,21),$E29&gt;=DATE(2026,8,15)),1,"")</f>
        <v/>
      </c>
      <c r="AL29">
        <f>IF(AND($D29&lt;=DATE(2026,8,31),$E29&gt;=DATE(2026,8,22)),1,"")</f>
        <v/>
      </c>
      <c r="AM29">
        <f>IF(AND($D29&lt;=DATE(2026,9,7),$E29&gt;=DATE(2026,9,1)),1,"")</f>
        <v/>
      </c>
      <c r="AN29">
        <f>IF(AND($D29&lt;=DATE(2026,9,14),$E29&gt;=DATE(2026,9,8)),1,"")</f>
        <v/>
      </c>
      <c r="AO29">
        <f>IF(AND($D29&lt;=DATE(2026,9,21),$E29&gt;=DATE(2026,9,15)),1,"")</f>
        <v/>
      </c>
      <c r="AP29">
        <f>IF(AND($D29&lt;=DATE(2026,9,30),$E29&gt;=DATE(2026,9,22)),1,"")</f>
        <v/>
      </c>
      <c r="AQ29">
        <f>IF(AND($D29&lt;=DATE(2026,10,7),$E29&gt;=DATE(2026,10,1)),1,"")</f>
        <v/>
      </c>
      <c r="AR29">
        <f>IF(AND($D29&lt;=DATE(2026,10,14),$E29&gt;=DATE(2026,10,8)),1,"")</f>
        <v/>
      </c>
      <c r="AS29">
        <f>IF(AND($D29&lt;=DATE(2026,10,21),$E29&gt;=DATE(2026,10,15)),1,"")</f>
        <v/>
      </c>
      <c r="AT29">
        <f>IF(AND($D29&lt;=DATE(2026,10,31),$E29&gt;=DATE(2026,10,22)),1,"")</f>
        <v/>
      </c>
      <c r="AU29">
        <f>IF(AND($D29&lt;=DATE(2026,11,7),$E29&gt;=DATE(2026,11,1)),1,"")</f>
        <v/>
      </c>
      <c r="AV29">
        <f>IF(AND($D29&lt;=DATE(2026,11,14),$E29&gt;=DATE(2026,11,8)),1,"")</f>
        <v/>
      </c>
      <c r="AW29">
        <f>IF(AND($D29&lt;=DATE(2026,11,21),$E29&gt;=DATE(2026,11,15)),1,"")</f>
        <v/>
      </c>
      <c r="AX29">
        <f>IF(AND($D29&lt;=DATE(2026,11,30),$E29&gt;=DATE(2026,11,22)),1,"")</f>
        <v/>
      </c>
      <c r="AY29">
        <f>IF(AND($D29&lt;=DATE(2026,12,7),$E29&gt;=DATE(2026,12,1)),1,"")</f>
        <v/>
      </c>
      <c r="AZ29">
        <f>IF(AND($D29&lt;=DATE(2026,12,14),$E29&gt;=DATE(2026,12,8)),1,"")</f>
        <v/>
      </c>
      <c r="BA29">
        <f>IF(AND($D29&lt;=DATE(2026,12,21),$E29&gt;=DATE(2026,12,15)),1,"")</f>
        <v/>
      </c>
      <c r="BB29">
        <f>IF(AND($D29&lt;=DATE(2026,12,31),$E29&gt;=DATE(2026,12,22)),1,"")</f>
        <v/>
      </c>
    </row>
    <row r="30" ht="15" customHeight="1">
      <c r="F30">
        <f>IF(OR(D30="",E30=""),"",E30-D30+1)</f>
        <v/>
      </c>
      <c r="G30">
        <f>IF(AND($D30&lt;=DATE(2026,1,7),$E30&gt;=DATE(2026,1,1)),1,"")</f>
        <v/>
      </c>
      <c r="H30">
        <f>IF(AND($D30&lt;=DATE(2026,1,14),$E30&gt;=DATE(2026,1,8)),1,"")</f>
        <v/>
      </c>
      <c r="I30">
        <f>IF(AND($D30&lt;=DATE(2026,1,21),$E30&gt;=DATE(2026,1,15)),1,"")</f>
        <v/>
      </c>
      <c r="J30">
        <f>IF(AND($D30&lt;=DATE(2026,1,31),$E30&gt;=DATE(2026,1,22)),1,"")</f>
        <v/>
      </c>
      <c r="K30">
        <f>IF(AND($D30&lt;=DATE(2026,2,7),$E30&gt;=DATE(2026,2,1)),1,"")</f>
        <v/>
      </c>
      <c r="L30">
        <f>IF(AND($D30&lt;=DATE(2026,2,14),$E30&gt;=DATE(2026,2,8)),1,"")</f>
        <v/>
      </c>
      <c r="M30">
        <f>IF(AND($D30&lt;=DATE(2026,2,21),$E30&gt;=DATE(2026,2,15)),1,"")</f>
        <v/>
      </c>
      <c r="N30">
        <f>IF(AND($D30&lt;=DATE(2026,2,28),$E30&gt;=DATE(2026,2,22)),1,"")</f>
        <v/>
      </c>
      <c r="O30">
        <f>IF(AND($D30&lt;=DATE(2026,3,7),$E30&gt;=DATE(2026,3,1)),1,"")</f>
        <v/>
      </c>
      <c r="P30">
        <f>IF(AND($D30&lt;=DATE(2026,3,14),$E30&gt;=DATE(2026,3,8)),1,"")</f>
        <v/>
      </c>
      <c r="Q30">
        <f>IF(AND($D30&lt;=DATE(2026,3,21),$E30&gt;=DATE(2026,3,15)),1,"")</f>
        <v/>
      </c>
      <c r="R30">
        <f>IF(AND($D30&lt;=DATE(2026,3,31),$E30&gt;=DATE(2026,3,22)),1,"")</f>
        <v/>
      </c>
      <c r="S30">
        <f>IF(AND($D30&lt;=DATE(2026,4,7),$E30&gt;=DATE(2026,4,1)),1,"")</f>
        <v/>
      </c>
      <c r="T30">
        <f>IF(AND($D30&lt;=DATE(2026,4,14),$E30&gt;=DATE(2026,4,8)),1,"")</f>
        <v/>
      </c>
      <c r="U30">
        <f>IF(AND($D30&lt;=DATE(2026,4,21),$E30&gt;=DATE(2026,4,15)),1,"")</f>
        <v/>
      </c>
      <c r="V30">
        <f>IF(AND($D30&lt;=DATE(2026,4,30),$E30&gt;=DATE(2026,4,22)),1,"")</f>
        <v/>
      </c>
      <c r="W30">
        <f>IF(AND($D30&lt;=DATE(2026,5,7),$E30&gt;=DATE(2026,5,1)),1,"")</f>
        <v/>
      </c>
      <c r="X30">
        <f>IF(AND($D30&lt;=DATE(2026,5,14),$E30&gt;=DATE(2026,5,8)),1,"")</f>
        <v/>
      </c>
      <c r="Y30">
        <f>IF(AND($D30&lt;=DATE(2026,5,21),$E30&gt;=DATE(2026,5,15)),1,"")</f>
        <v/>
      </c>
      <c r="Z30">
        <f>IF(AND($D30&lt;=DATE(2026,5,31),$E30&gt;=DATE(2026,5,22)),1,"")</f>
        <v/>
      </c>
      <c r="AA30">
        <f>IF(AND($D30&lt;=DATE(2026,6,7),$E30&gt;=DATE(2026,6,1)),1,"")</f>
        <v/>
      </c>
      <c r="AB30">
        <f>IF(AND($D30&lt;=DATE(2026,6,14),$E30&gt;=DATE(2026,6,8)),1,"")</f>
        <v/>
      </c>
      <c r="AC30">
        <f>IF(AND($D30&lt;=DATE(2026,6,21),$E30&gt;=DATE(2026,6,15)),1,"")</f>
        <v/>
      </c>
      <c r="AD30">
        <f>IF(AND($D30&lt;=DATE(2026,6,30),$E30&gt;=DATE(2026,6,22)),1,"")</f>
        <v/>
      </c>
      <c r="AE30">
        <f>IF(AND($D30&lt;=DATE(2026,7,7),$E30&gt;=DATE(2026,7,1)),1,"")</f>
        <v/>
      </c>
      <c r="AF30">
        <f>IF(AND($D30&lt;=DATE(2026,7,14),$E30&gt;=DATE(2026,7,8)),1,"")</f>
        <v/>
      </c>
      <c r="AG30">
        <f>IF(AND($D30&lt;=DATE(2026,7,21),$E30&gt;=DATE(2026,7,15)),1,"")</f>
        <v/>
      </c>
      <c r="AH30">
        <f>IF(AND($D30&lt;=DATE(2026,7,31),$E30&gt;=DATE(2026,7,22)),1,"")</f>
        <v/>
      </c>
      <c r="AI30">
        <f>IF(AND($D30&lt;=DATE(2026,8,7),$E30&gt;=DATE(2026,8,1)),1,"")</f>
        <v/>
      </c>
      <c r="AJ30">
        <f>IF(AND($D30&lt;=DATE(2026,8,14),$E30&gt;=DATE(2026,8,8)),1,"")</f>
        <v/>
      </c>
      <c r="AK30">
        <f>IF(AND($D30&lt;=DATE(2026,8,21),$E30&gt;=DATE(2026,8,15)),1,"")</f>
        <v/>
      </c>
      <c r="AL30">
        <f>IF(AND($D30&lt;=DATE(2026,8,31),$E30&gt;=DATE(2026,8,22)),1,"")</f>
        <v/>
      </c>
      <c r="AM30">
        <f>IF(AND($D30&lt;=DATE(2026,9,7),$E30&gt;=DATE(2026,9,1)),1,"")</f>
        <v/>
      </c>
      <c r="AN30">
        <f>IF(AND($D30&lt;=DATE(2026,9,14),$E30&gt;=DATE(2026,9,8)),1,"")</f>
        <v/>
      </c>
      <c r="AO30">
        <f>IF(AND($D30&lt;=DATE(2026,9,21),$E30&gt;=DATE(2026,9,15)),1,"")</f>
        <v/>
      </c>
      <c r="AP30">
        <f>IF(AND($D30&lt;=DATE(2026,9,30),$E30&gt;=DATE(2026,9,22)),1,"")</f>
        <v/>
      </c>
      <c r="AQ30">
        <f>IF(AND($D30&lt;=DATE(2026,10,7),$E30&gt;=DATE(2026,10,1)),1,"")</f>
        <v/>
      </c>
      <c r="AR30">
        <f>IF(AND($D30&lt;=DATE(2026,10,14),$E30&gt;=DATE(2026,10,8)),1,"")</f>
        <v/>
      </c>
      <c r="AS30">
        <f>IF(AND($D30&lt;=DATE(2026,10,21),$E30&gt;=DATE(2026,10,15)),1,"")</f>
        <v/>
      </c>
      <c r="AT30">
        <f>IF(AND($D30&lt;=DATE(2026,10,31),$E30&gt;=DATE(2026,10,22)),1,"")</f>
        <v/>
      </c>
      <c r="AU30">
        <f>IF(AND($D30&lt;=DATE(2026,11,7),$E30&gt;=DATE(2026,11,1)),1,"")</f>
        <v/>
      </c>
      <c r="AV30">
        <f>IF(AND($D30&lt;=DATE(2026,11,14),$E30&gt;=DATE(2026,11,8)),1,"")</f>
        <v/>
      </c>
      <c r="AW30">
        <f>IF(AND($D30&lt;=DATE(2026,11,21),$E30&gt;=DATE(2026,11,15)),1,"")</f>
        <v/>
      </c>
      <c r="AX30">
        <f>IF(AND($D30&lt;=DATE(2026,11,30),$E30&gt;=DATE(2026,11,22)),1,"")</f>
        <v/>
      </c>
      <c r="AY30">
        <f>IF(AND($D30&lt;=DATE(2026,12,7),$E30&gt;=DATE(2026,12,1)),1,"")</f>
        <v/>
      </c>
      <c r="AZ30">
        <f>IF(AND($D30&lt;=DATE(2026,12,14),$E30&gt;=DATE(2026,12,8)),1,"")</f>
        <v/>
      </c>
      <c r="BA30">
        <f>IF(AND($D30&lt;=DATE(2026,12,21),$E30&gt;=DATE(2026,12,15)),1,"")</f>
        <v/>
      </c>
      <c r="BB30">
        <f>IF(AND($D30&lt;=DATE(2026,12,31),$E30&gt;=DATE(2026,12,22)),1,"")</f>
        <v/>
      </c>
    </row>
    <row r="31" ht="15" customHeight="1">
      <c r="F31">
        <f>IF(OR(D31="",E31=""),"",E31-D31+1)</f>
        <v/>
      </c>
      <c r="G31">
        <f>IF(AND($D31&lt;=DATE(2026,1,7),$E31&gt;=DATE(2026,1,1)),1,"")</f>
        <v/>
      </c>
      <c r="H31">
        <f>IF(AND($D31&lt;=DATE(2026,1,14),$E31&gt;=DATE(2026,1,8)),1,"")</f>
        <v/>
      </c>
      <c r="I31">
        <f>IF(AND($D31&lt;=DATE(2026,1,21),$E31&gt;=DATE(2026,1,15)),1,"")</f>
        <v/>
      </c>
      <c r="J31">
        <f>IF(AND($D31&lt;=DATE(2026,1,31),$E31&gt;=DATE(2026,1,22)),1,"")</f>
        <v/>
      </c>
      <c r="K31">
        <f>IF(AND($D31&lt;=DATE(2026,2,7),$E31&gt;=DATE(2026,2,1)),1,"")</f>
        <v/>
      </c>
      <c r="L31">
        <f>IF(AND($D31&lt;=DATE(2026,2,14),$E31&gt;=DATE(2026,2,8)),1,"")</f>
        <v/>
      </c>
      <c r="M31">
        <f>IF(AND($D31&lt;=DATE(2026,2,21),$E31&gt;=DATE(2026,2,15)),1,"")</f>
        <v/>
      </c>
      <c r="N31">
        <f>IF(AND($D31&lt;=DATE(2026,2,28),$E31&gt;=DATE(2026,2,22)),1,"")</f>
        <v/>
      </c>
      <c r="O31">
        <f>IF(AND($D31&lt;=DATE(2026,3,7),$E31&gt;=DATE(2026,3,1)),1,"")</f>
        <v/>
      </c>
      <c r="P31">
        <f>IF(AND($D31&lt;=DATE(2026,3,14),$E31&gt;=DATE(2026,3,8)),1,"")</f>
        <v/>
      </c>
      <c r="Q31">
        <f>IF(AND($D31&lt;=DATE(2026,3,21),$E31&gt;=DATE(2026,3,15)),1,"")</f>
        <v/>
      </c>
      <c r="R31">
        <f>IF(AND($D31&lt;=DATE(2026,3,31),$E31&gt;=DATE(2026,3,22)),1,"")</f>
        <v/>
      </c>
      <c r="S31">
        <f>IF(AND($D31&lt;=DATE(2026,4,7),$E31&gt;=DATE(2026,4,1)),1,"")</f>
        <v/>
      </c>
      <c r="T31">
        <f>IF(AND($D31&lt;=DATE(2026,4,14),$E31&gt;=DATE(2026,4,8)),1,"")</f>
        <v/>
      </c>
      <c r="U31">
        <f>IF(AND($D31&lt;=DATE(2026,4,21),$E31&gt;=DATE(2026,4,15)),1,"")</f>
        <v/>
      </c>
      <c r="V31">
        <f>IF(AND($D31&lt;=DATE(2026,4,30),$E31&gt;=DATE(2026,4,22)),1,"")</f>
        <v/>
      </c>
      <c r="W31">
        <f>IF(AND($D31&lt;=DATE(2026,5,7),$E31&gt;=DATE(2026,5,1)),1,"")</f>
        <v/>
      </c>
      <c r="X31">
        <f>IF(AND($D31&lt;=DATE(2026,5,14),$E31&gt;=DATE(2026,5,8)),1,"")</f>
        <v/>
      </c>
      <c r="Y31">
        <f>IF(AND($D31&lt;=DATE(2026,5,21),$E31&gt;=DATE(2026,5,15)),1,"")</f>
        <v/>
      </c>
      <c r="Z31">
        <f>IF(AND($D31&lt;=DATE(2026,5,31),$E31&gt;=DATE(2026,5,22)),1,"")</f>
        <v/>
      </c>
      <c r="AA31">
        <f>IF(AND($D31&lt;=DATE(2026,6,7),$E31&gt;=DATE(2026,6,1)),1,"")</f>
        <v/>
      </c>
      <c r="AB31">
        <f>IF(AND($D31&lt;=DATE(2026,6,14),$E31&gt;=DATE(2026,6,8)),1,"")</f>
        <v/>
      </c>
      <c r="AC31">
        <f>IF(AND($D31&lt;=DATE(2026,6,21),$E31&gt;=DATE(2026,6,15)),1,"")</f>
        <v/>
      </c>
      <c r="AD31">
        <f>IF(AND($D31&lt;=DATE(2026,6,30),$E31&gt;=DATE(2026,6,22)),1,"")</f>
        <v/>
      </c>
      <c r="AE31">
        <f>IF(AND($D31&lt;=DATE(2026,7,7),$E31&gt;=DATE(2026,7,1)),1,"")</f>
        <v/>
      </c>
      <c r="AF31">
        <f>IF(AND($D31&lt;=DATE(2026,7,14),$E31&gt;=DATE(2026,7,8)),1,"")</f>
        <v/>
      </c>
      <c r="AG31">
        <f>IF(AND($D31&lt;=DATE(2026,7,21),$E31&gt;=DATE(2026,7,15)),1,"")</f>
        <v/>
      </c>
      <c r="AH31">
        <f>IF(AND($D31&lt;=DATE(2026,7,31),$E31&gt;=DATE(2026,7,22)),1,"")</f>
        <v/>
      </c>
      <c r="AI31">
        <f>IF(AND($D31&lt;=DATE(2026,8,7),$E31&gt;=DATE(2026,8,1)),1,"")</f>
        <v/>
      </c>
      <c r="AJ31">
        <f>IF(AND($D31&lt;=DATE(2026,8,14),$E31&gt;=DATE(2026,8,8)),1,"")</f>
        <v/>
      </c>
      <c r="AK31">
        <f>IF(AND($D31&lt;=DATE(2026,8,21),$E31&gt;=DATE(2026,8,15)),1,"")</f>
        <v/>
      </c>
      <c r="AL31">
        <f>IF(AND($D31&lt;=DATE(2026,8,31),$E31&gt;=DATE(2026,8,22)),1,"")</f>
        <v/>
      </c>
      <c r="AM31">
        <f>IF(AND($D31&lt;=DATE(2026,9,7),$E31&gt;=DATE(2026,9,1)),1,"")</f>
        <v/>
      </c>
      <c r="AN31">
        <f>IF(AND($D31&lt;=DATE(2026,9,14),$E31&gt;=DATE(2026,9,8)),1,"")</f>
        <v/>
      </c>
      <c r="AO31">
        <f>IF(AND($D31&lt;=DATE(2026,9,21),$E31&gt;=DATE(2026,9,15)),1,"")</f>
        <v/>
      </c>
      <c r="AP31">
        <f>IF(AND($D31&lt;=DATE(2026,9,30),$E31&gt;=DATE(2026,9,22)),1,"")</f>
        <v/>
      </c>
      <c r="AQ31">
        <f>IF(AND($D31&lt;=DATE(2026,10,7),$E31&gt;=DATE(2026,10,1)),1,"")</f>
        <v/>
      </c>
      <c r="AR31">
        <f>IF(AND($D31&lt;=DATE(2026,10,14),$E31&gt;=DATE(2026,10,8)),1,"")</f>
        <v/>
      </c>
      <c r="AS31">
        <f>IF(AND($D31&lt;=DATE(2026,10,21),$E31&gt;=DATE(2026,10,15)),1,"")</f>
        <v/>
      </c>
      <c r="AT31">
        <f>IF(AND($D31&lt;=DATE(2026,10,31),$E31&gt;=DATE(2026,10,22)),1,"")</f>
        <v/>
      </c>
      <c r="AU31">
        <f>IF(AND($D31&lt;=DATE(2026,11,7),$E31&gt;=DATE(2026,11,1)),1,"")</f>
        <v/>
      </c>
      <c r="AV31">
        <f>IF(AND($D31&lt;=DATE(2026,11,14),$E31&gt;=DATE(2026,11,8)),1,"")</f>
        <v/>
      </c>
      <c r="AW31">
        <f>IF(AND($D31&lt;=DATE(2026,11,21),$E31&gt;=DATE(2026,11,15)),1,"")</f>
        <v/>
      </c>
      <c r="AX31">
        <f>IF(AND($D31&lt;=DATE(2026,11,30),$E31&gt;=DATE(2026,11,22)),1,"")</f>
        <v/>
      </c>
      <c r="AY31">
        <f>IF(AND($D31&lt;=DATE(2026,12,7),$E31&gt;=DATE(2026,12,1)),1,"")</f>
        <v/>
      </c>
      <c r="AZ31">
        <f>IF(AND($D31&lt;=DATE(2026,12,14),$E31&gt;=DATE(2026,12,8)),1,"")</f>
        <v/>
      </c>
      <c r="BA31">
        <f>IF(AND($D31&lt;=DATE(2026,12,21),$E31&gt;=DATE(2026,12,15)),1,"")</f>
        <v/>
      </c>
      <c r="BB31">
        <f>IF(AND($D31&lt;=DATE(2026,12,31),$E31&gt;=DATE(2026,12,22)),1,"")</f>
        <v/>
      </c>
    </row>
    <row r="32" ht="15" customHeight="1">
      <c r="F32">
        <f>IF(OR(D32="",E32=""),"",E32-D32+1)</f>
        <v/>
      </c>
      <c r="G32">
        <f>IF(AND($D32&lt;=DATE(2026,1,7),$E32&gt;=DATE(2026,1,1)),1,"")</f>
        <v/>
      </c>
      <c r="H32">
        <f>IF(AND($D32&lt;=DATE(2026,1,14),$E32&gt;=DATE(2026,1,8)),1,"")</f>
        <v/>
      </c>
      <c r="I32">
        <f>IF(AND($D32&lt;=DATE(2026,1,21),$E32&gt;=DATE(2026,1,15)),1,"")</f>
        <v/>
      </c>
      <c r="J32">
        <f>IF(AND($D32&lt;=DATE(2026,1,31),$E32&gt;=DATE(2026,1,22)),1,"")</f>
        <v/>
      </c>
      <c r="K32">
        <f>IF(AND($D32&lt;=DATE(2026,2,7),$E32&gt;=DATE(2026,2,1)),1,"")</f>
        <v/>
      </c>
      <c r="L32">
        <f>IF(AND($D32&lt;=DATE(2026,2,14),$E32&gt;=DATE(2026,2,8)),1,"")</f>
        <v/>
      </c>
      <c r="M32">
        <f>IF(AND($D32&lt;=DATE(2026,2,21),$E32&gt;=DATE(2026,2,15)),1,"")</f>
        <v/>
      </c>
      <c r="N32">
        <f>IF(AND($D32&lt;=DATE(2026,2,28),$E32&gt;=DATE(2026,2,22)),1,"")</f>
        <v/>
      </c>
      <c r="O32">
        <f>IF(AND($D32&lt;=DATE(2026,3,7),$E32&gt;=DATE(2026,3,1)),1,"")</f>
        <v/>
      </c>
      <c r="P32">
        <f>IF(AND($D32&lt;=DATE(2026,3,14),$E32&gt;=DATE(2026,3,8)),1,"")</f>
        <v/>
      </c>
      <c r="Q32">
        <f>IF(AND($D32&lt;=DATE(2026,3,21),$E32&gt;=DATE(2026,3,15)),1,"")</f>
        <v/>
      </c>
      <c r="R32">
        <f>IF(AND($D32&lt;=DATE(2026,3,31),$E32&gt;=DATE(2026,3,22)),1,"")</f>
        <v/>
      </c>
      <c r="S32">
        <f>IF(AND($D32&lt;=DATE(2026,4,7),$E32&gt;=DATE(2026,4,1)),1,"")</f>
        <v/>
      </c>
      <c r="T32">
        <f>IF(AND($D32&lt;=DATE(2026,4,14),$E32&gt;=DATE(2026,4,8)),1,"")</f>
        <v/>
      </c>
      <c r="U32">
        <f>IF(AND($D32&lt;=DATE(2026,4,21),$E32&gt;=DATE(2026,4,15)),1,"")</f>
        <v/>
      </c>
      <c r="V32">
        <f>IF(AND($D32&lt;=DATE(2026,4,30),$E32&gt;=DATE(2026,4,22)),1,"")</f>
        <v/>
      </c>
      <c r="W32">
        <f>IF(AND($D32&lt;=DATE(2026,5,7),$E32&gt;=DATE(2026,5,1)),1,"")</f>
        <v/>
      </c>
      <c r="X32">
        <f>IF(AND($D32&lt;=DATE(2026,5,14),$E32&gt;=DATE(2026,5,8)),1,"")</f>
        <v/>
      </c>
      <c r="Y32">
        <f>IF(AND($D32&lt;=DATE(2026,5,21),$E32&gt;=DATE(2026,5,15)),1,"")</f>
        <v/>
      </c>
      <c r="Z32">
        <f>IF(AND($D32&lt;=DATE(2026,5,31),$E32&gt;=DATE(2026,5,22)),1,"")</f>
        <v/>
      </c>
      <c r="AA32">
        <f>IF(AND($D32&lt;=DATE(2026,6,7),$E32&gt;=DATE(2026,6,1)),1,"")</f>
        <v/>
      </c>
      <c r="AB32">
        <f>IF(AND($D32&lt;=DATE(2026,6,14),$E32&gt;=DATE(2026,6,8)),1,"")</f>
        <v/>
      </c>
      <c r="AC32">
        <f>IF(AND($D32&lt;=DATE(2026,6,21),$E32&gt;=DATE(2026,6,15)),1,"")</f>
        <v/>
      </c>
      <c r="AD32">
        <f>IF(AND($D32&lt;=DATE(2026,6,30),$E32&gt;=DATE(2026,6,22)),1,"")</f>
        <v/>
      </c>
      <c r="AE32">
        <f>IF(AND($D32&lt;=DATE(2026,7,7),$E32&gt;=DATE(2026,7,1)),1,"")</f>
        <v/>
      </c>
      <c r="AF32">
        <f>IF(AND($D32&lt;=DATE(2026,7,14),$E32&gt;=DATE(2026,7,8)),1,"")</f>
        <v/>
      </c>
      <c r="AG32">
        <f>IF(AND($D32&lt;=DATE(2026,7,21),$E32&gt;=DATE(2026,7,15)),1,"")</f>
        <v/>
      </c>
      <c r="AH32">
        <f>IF(AND($D32&lt;=DATE(2026,7,31),$E32&gt;=DATE(2026,7,22)),1,"")</f>
        <v/>
      </c>
      <c r="AI32">
        <f>IF(AND($D32&lt;=DATE(2026,8,7),$E32&gt;=DATE(2026,8,1)),1,"")</f>
        <v/>
      </c>
      <c r="AJ32">
        <f>IF(AND($D32&lt;=DATE(2026,8,14),$E32&gt;=DATE(2026,8,8)),1,"")</f>
        <v/>
      </c>
      <c r="AK32">
        <f>IF(AND($D32&lt;=DATE(2026,8,21),$E32&gt;=DATE(2026,8,15)),1,"")</f>
        <v/>
      </c>
      <c r="AL32">
        <f>IF(AND($D32&lt;=DATE(2026,8,31),$E32&gt;=DATE(2026,8,22)),1,"")</f>
        <v/>
      </c>
      <c r="AM32">
        <f>IF(AND($D32&lt;=DATE(2026,9,7),$E32&gt;=DATE(2026,9,1)),1,"")</f>
        <v/>
      </c>
      <c r="AN32">
        <f>IF(AND($D32&lt;=DATE(2026,9,14),$E32&gt;=DATE(2026,9,8)),1,"")</f>
        <v/>
      </c>
      <c r="AO32">
        <f>IF(AND($D32&lt;=DATE(2026,9,21),$E32&gt;=DATE(2026,9,15)),1,"")</f>
        <v/>
      </c>
      <c r="AP32">
        <f>IF(AND($D32&lt;=DATE(2026,9,30),$E32&gt;=DATE(2026,9,22)),1,"")</f>
        <v/>
      </c>
      <c r="AQ32">
        <f>IF(AND($D32&lt;=DATE(2026,10,7),$E32&gt;=DATE(2026,10,1)),1,"")</f>
        <v/>
      </c>
      <c r="AR32">
        <f>IF(AND($D32&lt;=DATE(2026,10,14),$E32&gt;=DATE(2026,10,8)),1,"")</f>
        <v/>
      </c>
      <c r="AS32">
        <f>IF(AND($D32&lt;=DATE(2026,10,21),$E32&gt;=DATE(2026,10,15)),1,"")</f>
        <v/>
      </c>
      <c r="AT32">
        <f>IF(AND($D32&lt;=DATE(2026,10,31),$E32&gt;=DATE(2026,10,22)),1,"")</f>
        <v/>
      </c>
      <c r="AU32">
        <f>IF(AND($D32&lt;=DATE(2026,11,7),$E32&gt;=DATE(2026,11,1)),1,"")</f>
        <v/>
      </c>
      <c r="AV32">
        <f>IF(AND($D32&lt;=DATE(2026,11,14),$E32&gt;=DATE(2026,11,8)),1,"")</f>
        <v/>
      </c>
      <c r="AW32">
        <f>IF(AND($D32&lt;=DATE(2026,11,21),$E32&gt;=DATE(2026,11,15)),1,"")</f>
        <v/>
      </c>
      <c r="AX32">
        <f>IF(AND($D32&lt;=DATE(2026,11,30),$E32&gt;=DATE(2026,11,22)),1,"")</f>
        <v/>
      </c>
      <c r="AY32">
        <f>IF(AND($D32&lt;=DATE(2026,12,7),$E32&gt;=DATE(2026,12,1)),1,"")</f>
        <v/>
      </c>
      <c r="AZ32">
        <f>IF(AND($D32&lt;=DATE(2026,12,14),$E32&gt;=DATE(2026,12,8)),1,"")</f>
        <v/>
      </c>
      <c r="BA32">
        <f>IF(AND($D32&lt;=DATE(2026,12,21),$E32&gt;=DATE(2026,12,15)),1,"")</f>
        <v/>
      </c>
      <c r="BB32">
        <f>IF(AND($D32&lt;=DATE(2026,12,31),$E32&gt;=DATE(2026,12,22)),1,"")</f>
        <v/>
      </c>
    </row>
    <row r="33" ht="15" customHeight="1">
      <c r="F33">
        <f>IF(OR(D33="",E33=""),"",E33-D33+1)</f>
        <v/>
      </c>
      <c r="G33">
        <f>IF(AND($D33&lt;=DATE(2026,1,7),$E33&gt;=DATE(2026,1,1)),1,"")</f>
        <v/>
      </c>
      <c r="H33">
        <f>IF(AND($D33&lt;=DATE(2026,1,14),$E33&gt;=DATE(2026,1,8)),1,"")</f>
        <v/>
      </c>
      <c r="I33">
        <f>IF(AND($D33&lt;=DATE(2026,1,21),$E33&gt;=DATE(2026,1,15)),1,"")</f>
        <v/>
      </c>
      <c r="J33">
        <f>IF(AND($D33&lt;=DATE(2026,1,31),$E33&gt;=DATE(2026,1,22)),1,"")</f>
        <v/>
      </c>
      <c r="K33">
        <f>IF(AND($D33&lt;=DATE(2026,2,7),$E33&gt;=DATE(2026,2,1)),1,"")</f>
        <v/>
      </c>
      <c r="L33">
        <f>IF(AND($D33&lt;=DATE(2026,2,14),$E33&gt;=DATE(2026,2,8)),1,"")</f>
        <v/>
      </c>
      <c r="M33">
        <f>IF(AND($D33&lt;=DATE(2026,2,21),$E33&gt;=DATE(2026,2,15)),1,"")</f>
        <v/>
      </c>
      <c r="N33">
        <f>IF(AND($D33&lt;=DATE(2026,2,28),$E33&gt;=DATE(2026,2,22)),1,"")</f>
        <v/>
      </c>
      <c r="O33">
        <f>IF(AND($D33&lt;=DATE(2026,3,7),$E33&gt;=DATE(2026,3,1)),1,"")</f>
        <v/>
      </c>
      <c r="P33">
        <f>IF(AND($D33&lt;=DATE(2026,3,14),$E33&gt;=DATE(2026,3,8)),1,"")</f>
        <v/>
      </c>
      <c r="Q33">
        <f>IF(AND($D33&lt;=DATE(2026,3,21),$E33&gt;=DATE(2026,3,15)),1,"")</f>
        <v/>
      </c>
      <c r="R33">
        <f>IF(AND($D33&lt;=DATE(2026,3,31),$E33&gt;=DATE(2026,3,22)),1,"")</f>
        <v/>
      </c>
      <c r="S33">
        <f>IF(AND($D33&lt;=DATE(2026,4,7),$E33&gt;=DATE(2026,4,1)),1,"")</f>
        <v/>
      </c>
      <c r="T33">
        <f>IF(AND($D33&lt;=DATE(2026,4,14),$E33&gt;=DATE(2026,4,8)),1,"")</f>
        <v/>
      </c>
      <c r="U33">
        <f>IF(AND($D33&lt;=DATE(2026,4,21),$E33&gt;=DATE(2026,4,15)),1,"")</f>
        <v/>
      </c>
      <c r="V33">
        <f>IF(AND($D33&lt;=DATE(2026,4,30),$E33&gt;=DATE(2026,4,22)),1,"")</f>
        <v/>
      </c>
      <c r="W33">
        <f>IF(AND($D33&lt;=DATE(2026,5,7),$E33&gt;=DATE(2026,5,1)),1,"")</f>
        <v/>
      </c>
      <c r="X33">
        <f>IF(AND($D33&lt;=DATE(2026,5,14),$E33&gt;=DATE(2026,5,8)),1,"")</f>
        <v/>
      </c>
      <c r="Y33">
        <f>IF(AND($D33&lt;=DATE(2026,5,21),$E33&gt;=DATE(2026,5,15)),1,"")</f>
        <v/>
      </c>
      <c r="Z33">
        <f>IF(AND($D33&lt;=DATE(2026,5,31),$E33&gt;=DATE(2026,5,22)),1,"")</f>
        <v/>
      </c>
      <c r="AA33">
        <f>IF(AND($D33&lt;=DATE(2026,6,7),$E33&gt;=DATE(2026,6,1)),1,"")</f>
        <v/>
      </c>
      <c r="AB33">
        <f>IF(AND($D33&lt;=DATE(2026,6,14),$E33&gt;=DATE(2026,6,8)),1,"")</f>
        <v/>
      </c>
      <c r="AC33">
        <f>IF(AND($D33&lt;=DATE(2026,6,21),$E33&gt;=DATE(2026,6,15)),1,"")</f>
        <v/>
      </c>
      <c r="AD33">
        <f>IF(AND($D33&lt;=DATE(2026,6,30),$E33&gt;=DATE(2026,6,22)),1,"")</f>
        <v/>
      </c>
      <c r="AE33">
        <f>IF(AND($D33&lt;=DATE(2026,7,7),$E33&gt;=DATE(2026,7,1)),1,"")</f>
        <v/>
      </c>
      <c r="AF33">
        <f>IF(AND($D33&lt;=DATE(2026,7,14),$E33&gt;=DATE(2026,7,8)),1,"")</f>
        <v/>
      </c>
      <c r="AG33">
        <f>IF(AND($D33&lt;=DATE(2026,7,21),$E33&gt;=DATE(2026,7,15)),1,"")</f>
        <v/>
      </c>
      <c r="AH33">
        <f>IF(AND($D33&lt;=DATE(2026,7,31),$E33&gt;=DATE(2026,7,22)),1,"")</f>
        <v/>
      </c>
      <c r="AI33">
        <f>IF(AND($D33&lt;=DATE(2026,8,7),$E33&gt;=DATE(2026,8,1)),1,"")</f>
        <v/>
      </c>
      <c r="AJ33">
        <f>IF(AND($D33&lt;=DATE(2026,8,14),$E33&gt;=DATE(2026,8,8)),1,"")</f>
        <v/>
      </c>
      <c r="AK33">
        <f>IF(AND($D33&lt;=DATE(2026,8,21),$E33&gt;=DATE(2026,8,15)),1,"")</f>
        <v/>
      </c>
      <c r="AL33">
        <f>IF(AND($D33&lt;=DATE(2026,8,31),$E33&gt;=DATE(2026,8,22)),1,"")</f>
        <v/>
      </c>
      <c r="AM33">
        <f>IF(AND($D33&lt;=DATE(2026,9,7),$E33&gt;=DATE(2026,9,1)),1,"")</f>
        <v/>
      </c>
      <c r="AN33">
        <f>IF(AND($D33&lt;=DATE(2026,9,14),$E33&gt;=DATE(2026,9,8)),1,"")</f>
        <v/>
      </c>
      <c r="AO33">
        <f>IF(AND($D33&lt;=DATE(2026,9,21),$E33&gt;=DATE(2026,9,15)),1,"")</f>
        <v/>
      </c>
      <c r="AP33">
        <f>IF(AND($D33&lt;=DATE(2026,9,30),$E33&gt;=DATE(2026,9,22)),1,"")</f>
        <v/>
      </c>
      <c r="AQ33">
        <f>IF(AND($D33&lt;=DATE(2026,10,7),$E33&gt;=DATE(2026,10,1)),1,"")</f>
        <v/>
      </c>
      <c r="AR33">
        <f>IF(AND($D33&lt;=DATE(2026,10,14),$E33&gt;=DATE(2026,10,8)),1,"")</f>
        <v/>
      </c>
      <c r="AS33">
        <f>IF(AND($D33&lt;=DATE(2026,10,21),$E33&gt;=DATE(2026,10,15)),1,"")</f>
        <v/>
      </c>
      <c r="AT33">
        <f>IF(AND($D33&lt;=DATE(2026,10,31),$E33&gt;=DATE(2026,10,22)),1,"")</f>
        <v/>
      </c>
      <c r="AU33">
        <f>IF(AND($D33&lt;=DATE(2026,11,7),$E33&gt;=DATE(2026,11,1)),1,"")</f>
        <v/>
      </c>
      <c r="AV33">
        <f>IF(AND($D33&lt;=DATE(2026,11,14),$E33&gt;=DATE(2026,11,8)),1,"")</f>
        <v/>
      </c>
      <c r="AW33">
        <f>IF(AND($D33&lt;=DATE(2026,11,21),$E33&gt;=DATE(2026,11,15)),1,"")</f>
        <v/>
      </c>
      <c r="AX33">
        <f>IF(AND($D33&lt;=DATE(2026,11,30),$E33&gt;=DATE(2026,11,22)),1,"")</f>
        <v/>
      </c>
      <c r="AY33">
        <f>IF(AND($D33&lt;=DATE(2026,12,7),$E33&gt;=DATE(2026,12,1)),1,"")</f>
        <v/>
      </c>
      <c r="AZ33">
        <f>IF(AND($D33&lt;=DATE(2026,12,14),$E33&gt;=DATE(2026,12,8)),1,"")</f>
        <v/>
      </c>
      <c r="BA33">
        <f>IF(AND($D33&lt;=DATE(2026,12,21),$E33&gt;=DATE(2026,12,15)),1,"")</f>
        <v/>
      </c>
      <c r="BB33">
        <f>IF(AND($D33&lt;=DATE(2026,12,31),$E33&gt;=DATE(2026,12,22)),1,"")</f>
        <v/>
      </c>
    </row>
    <row r="34" ht="15" customHeight="1">
      <c r="F34">
        <f>IF(OR(D34="",E34=""),"",E34-D34+1)</f>
        <v/>
      </c>
      <c r="G34">
        <f>IF(AND($D34&lt;=DATE(2026,1,7),$E34&gt;=DATE(2026,1,1)),1,"")</f>
        <v/>
      </c>
      <c r="H34">
        <f>IF(AND($D34&lt;=DATE(2026,1,14),$E34&gt;=DATE(2026,1,8)),1,"")</f>
        <v/>
      </c>
      <c r="I34">
        <f>IF(AND($D34&lt;=DATE(2026,1,21),$E34&gt;=DATE(2026,1,15)),1,"")</f>
        <v/>
      </c>
      <c r="J34">
        <f>IF(AND($D34&lt;=DATE(2026,1,31),$E34&gt;=DATE(2026,1,22)),1,"")</f>
        <v/>
      </c>
      <c r="K34">
        <f>IF(AND($D34&lt;=DATE(2026,2,7),$E34&gt;=DATE(2026,2,1)),1,"")</f>
        <v/>
      </c>
      <c r="L34">
        <f>IF(AND($D34&lt;=DATE(2026,2,14),$E34&gt;=DATE(2026,2,8)),1,"")</f>
        <v/>
      </c>
      <c r="M34">
        <f>IF(AND($D34&lt;=DATE(2026,2,21),$E34&gt;=DATE(2026,2,15)),1,"")</f>
        <v/>
      </c>
      <c r="N34">
        <f>IF(AND($D34&lt;=DATE(2026,2,28),$E34&gt;=DATE(2026,2,22)),1,"")</f>
        <v/>
      </c>
      <c r="O34">
        <f>IF(AND($D34&lt;=DATE(2026,3,7),$E34&gt;=DATE(2026,3,1)),1,"")</f>
        <v/>
      </c>
      <c r="P34">
        <f>IF(AND($D34&lt;=DATE(2026,3,14),$E34&gt;=DATE(2026,3,8)),1,"")</f>
        <v/>
      </c>
      <c r="Q34">
        <f>IF(AND($D34&lt;=DATE(2026,3,21),$E34&gt;=DATE(2026,3,15)),1,"")</f>
        <v/>
      </c>
      <c r="R34">
        <f>IF(AND($D34&lt;=DATE(2026,3,31),$E34&gt;=DATE(2026,3,22)),1,"")</f>
        <v/>
      </c>
      <c r="S34">
        <f>IF(AND($D34&lt;=DATE(2026,4,7),$E34&gt;=DATE(2026,4,1)),1,"")</f>
        <v/>
      </c>
      <c r="T34">
        <f>IF(AND($D34&lt;=DATE(2026,4,14),$E34&gt;=DATE(2026,4,8)),1,"")</f>
        <v/>
      </c>
      <c r="U34">
        <f>IF(AND($D34&lt;=DATE(2026,4,21),$E34&gt;=DATE(2026,4,15)),1,"")</f>
        <v/>
      </c>
      <c r="V34">
        <f>IF(AND($D34&lt;=DATE(2026,4,30),$E34&gt;=DATE(2026,4,22)),1,"")</f>
        <v/>
      </c>
      <c r="W34">
        <f>IF(AND($D34&lt;=DATE(2026,5,7),$E34&gt;=DATE(2026,5,1)),1,"")</f>
        <v/>
      </c>
      <c r="X34">
        <f>IF(AND($D34&lt;=DATE(2026,5,14),$E34&gt;=DATE(2026,5,8)),1,"")</f>
        <v/>
      </c>
      <c r="Y34">
        <f>IF(AND($D34&lt;=DATE(2026,5,21),$E34&gt;=DATE(2026,5,15)),1,"")</f>
        <v/>
      </c>
      <c r="Z34">
        <f>IF(AND($D34&lt;=DATE(2026,5,31),$E34&gt;=DATE(2026,5,22)),1,"")</f>
        <v/>
      </c>
      <c r="AA34">
        <f>IF(AND($D34&lt;=DATE(2026,6,7),$E34&gt;=DATE(2026,6,1)),1,"")</f>
        <v/>
      </c>
      <c r="AB34">
        <f>IF(AND($D34&lt;=DATE(2026,6,14),$E34&gt;=DATE(2026,6,8)),1,"")</f>
        <v/>
      </c>
      <c r="AC34">
        <f>IF(AND($D34&lt;=DATE(2026,6,21),$E34&gt;=DATE(2026,6,15)),1,"")</f>
        <v/>
      </c>
      <c r="AD34">
        <f>IF(AND($D34&lt;=DATE(2026,6,30),$E34&gt;=DATE(2026,6,22)),1,"")</f>
        <v/>
      </c>
      <c r="AE34">
        <f>IF(AND($D34&lt;=DATE(2026,7,7),$E34&gt;=DATE(2026,7,1)),1,"")</f>
        <v/>
      </c>
      <c r="AF34">
        <f>IF(AND($D34&lt;=DATE(2026,7,14),$E34&gt;=DATE(2026,7,8)),1,"")</f>
        <v/>
      </c>
      <c r="AG34">
        <f>IF(AND($D34&lt;=DATE(2026,7,21),$E34&gt;=DATE(2026,7,15)),1,"")</f>
        <v/>
      </c>
      <c r="AH34">
        <f>IF(AND($D34&lt;=DATE(2026,7,31),$E34&gt;=DATE(2026,7,22)),1,"")</f>
        <v/>
      </c>
      <c r="AI34">
        <f>IF(AND($D34&lt;=DATE(2026,8,7),$E34&gt;=DATE(2026,8,1)),1,"")</f>
        <v/>
      </c>
      <c r="AJ34">
        <f>IF(AND($D34&lt;=DATE(2026,8,14),$E34&gt;=DATE(2026,8,8)),1,"")</f>
        <v/>
      </c>
      <c r="AK34">
        <f>IF(AND($D34&lt;=DATE(2026,8,21),$E34&gt;=DATE(2026,8,15)),1,"")</f>
        <v/>
      </c>
      <c r="AL34">
        <f>IF(AND($D34&lt;=DATE(2026,8,31),$E34&gt;=DATE(2026,8,22)),1,"")</f>
        <v/>
      </c>
      <c r="AM34">
        <f>IF(AND($D34&lt;=DATE(2026,9,7),$E34&gt;=DATE(2026,9,1)),1,"")</f>
        <v/>
      </c>
      <c r="AN34">
        <f>IF(AND($D34&lt;=DATE(2026,9,14),$E34&gt;=DATE(2026,9,8)),1,"")</f>
        <v/>
      </c>
      <c r="AO34">
        <f>IF(AND($D34&lt;=DATE(2026,9,21),$E34&gt;=DATE(2026,9,15)),1,"")</f>
        <v/>
      </c>
      <c r="AP34">
        <f>IF(AND($D34&lt;=DATE(2026,9,30),$E34&gt;=DATE(2026,9,22)),1,"")</f>
        <v/>
      </c>
      <c r="AQ34">
        <f>IF(AND($D34&lt;=DATE(2026,10,7),$E34&gt;=DATE(2026,10,1)),1,"")</f>
        <v/>
      </c>
      <c r="AR34">
        <f>IF(AND($D34&lt;=DATE(2026,10,14),$E34&gt;=DATE(2026,10,8)),1,"")</f>
        <v/>
      </c>
      <c r="AS34">
        <f>IF(AND($D34&lt;=DATE(2026,10,21),$E34&gt;=DATE(2026,10,15)),1,"")</f>
        <v/>
      </c>
      <c r="AT34">
        <f>IF(AND($D34&lt;=DATE(2026,10,31),$E34&gt;=DATE(2026,10,22)),1,"")</f>
        <v/>
      </c>
      <c r="AU34">
        <f>IF(AND($D34&lt;=DATE(2026,11,7),$E34&gt;=DATE(2026,11,1)),1,"")</f>
        <v/>
      </c>
      <c r="AV34">
        <f>IF(AND($D34&lt;=DATE(2026,11,14),$E34&gt;=DATE(2026,11,8)),1,"")</f>
        <v/>
      </c>
      <c r="AW34">
        <f>IF(AND($D34&lt;=DATE(2026,11,21),$E34&gt;=DATE(2026,11,15)),1,"")</f>
        <v/>
      </c>
      <c r="AX34">
        <f>IF(AND($D34&lt;=DATE(2026,11,30),$E34&gt;=DATE(2026,11,22)),1,"")</f>
        <v/>
      </c>
      <c r="AY34">
        <f>IF(AND($D34&lt;=DATE(2026,12,7),$E34&gt;=DATE(2026,12,1)),1,"")</f>
        <v/>
      </c>
      <c r="AZ34">
        <f>IF(AND($D34&lt;=DATE(2026,12,14),$E34&gt;=DATE(2026,12,8)),1,"")</f>
        <v/>
      </c>
      <c r="BA34">
        <f>IF(AND($D34&lt;=DATE(2026,12,21),$E34&gt;=DATE(2026,12,15)),1,"")</f>
        <v/>
      </c>
      <c r="BB34">
        <f>IF(AND($D34&lt;=DATE(2026,12,31),$E34&gt;=DATE(2026,12,22)),1,"")</f>
        <v/>
      </c>
    </row>
    <row r="35" ht="15" customHeight="1">
      <c r="F35">
        <f>IF(OR(D35="",E35=""),"",E35-D35+1)</f>
        <v/>
      </c>
      <c r="G35">
        <f>IF(AND($D35&lt;=DATE(2026,1,7),$E35&gt;=DATE(2026,1,1)),1,"")</f>
        <v/>
      </c>
      <c r="H35">
        <f>IF(AND($D35&lt;=DATE(2026,1,14),$E35&gt;=DATE(2026,1,8)),1,"")</f>
        <v/>
      </c>
      <c r="I35">
        <f>IF(AND($D35&lt;=DATE(2026,1,21),$E35&gt;=DATE(2026,1,15)),1,"")</f>
        <v/>
      </c>
      <c r="J35">
        <f>IF(AND($D35&lt;=DATE(2026,1,31),$E35&gt;=DATE(2026,1,22)),1,"")</f>
        <v/>
      </c>
      <c r="K35">
        <f>IF(AND($D35&lt;=DATE(2026,2,7),$E35&gt;=DATE(2026,2,1)),1,"")</f>
        <v/>
      </c>
      <c r="L35">
        <f>IF(AND($D35&lt;=DATE(2026,2,14),$E35&gt;=DATE(2026,2,8)),1,"")</f>
        <v/>
      </c>
      <c r="M35">
        <f>IF(AND($D35&lt;=DATE(2026,2,21),$E35&gt;=DATE(2026,2,15)),1,"")</f>
        <v/>
      </c>
      <c r="N35">
        <f>IF(AND($D35&lt;=DATE(2026,2,28),$E35&gt;=DATE(2026,2,22)),1,"")</f>
        <v/>
      </c>
      <c r="O35">
        <f>IF(AND($D35&lt;=DATE(2026,3,7),$E35&gt;=DATE(2026,3,1)),1,"")</f>
        <v/>
      </c>
      <c r="P35">
        <f>IF(AND($D35&lt;=DATE(2026,3,14),$E35&gt;=DATE(2026,3,8)),1,"")</f>
        <v/>
      </c>
      <c r="Q35">
        <f>IF(AND($D35&lt;=DATE(2026,3,21),$E35&gt;=DATE(2026,3,15)),1,"")</f>
        <v/>
      </c>
      <c r="R35">
        <f>IF(AND($D35&lt;=DATE(2026,3,31),$E35&gt;=DATE(2026,3,22)),1,"")</f>
        <v/>
      </c>
      <c r="S35">
        <f>IF(AND($D35&lt;=DATE(2026,4,7),$E35&gt;=DATE(2026,4,1)),1,"")</f>
        <v/>
      </c>
      <c r="T35">
        <f>IF(AND($D35&lt;=DATE(2026,4,14),$E35&gt;=DATE(2026,4,8)),1,"")</f>
        <v/>
      </c>
      <c r="U35">
        <f>IF(AND($D35&lt;=DATE(2026,4,21),$E35&gt;=DATE(2026,4,15)),1,"")</f>
        <v/>
      </c>
      <c r="V35">
        <f>IF(AND($D35&lt;=DATE(2026,4,30),$E35&gt;=DATE(2026,4,22)),1,"")</f>
        <v/>
      </c>
      <c r="W35">
        <f>IF(AND($D35&lt;=DATE(2026,5,7),$E35&gt;=DATE(2026,5,1)),1,"")</f>
        <v/>
      </c>
      <c r="X35">
        <f>IF(AND($D35&lt;=DATE(2026,5,14),$E35&gt;=DATE(2026,5,8)),1,"")</f>
        <v/>
      </c>
      <c r="Y35">
        <f>IF(AND($D35&lt;=DATE(2026,5,21),$E35&gt;=DATE(2026,5,15)),1,"")</f>
        <v/>
      </c>
      <c r="Z35">
        <f>IF(AND($D35&lt;=DATE(2026,5,31),$E35&gt;=DATE(2026,5,22)),1,"")</f>
        <v/>
      </c>
      <c r="AA35">
        <f>IF(AND($D35&lt;=DATE(2026,6,7),$E35&gt;=DATE(2026,6,1)),1,"")</f>
        <v/>
      </c>
      <c r="AB35">
        <f>IF(AND($D35&lt;=DATE(2026,6,14),$E35&gt;=DATE(2026,6,8)),1,"")</f>
        <v/>
      </c>
      <c r="AC35">
        <f>IF(AND($D35&lt;=DATE(2026,6,21),$E35&gt;=DATE(2026,6,15)),1,"")</f>
        <v/>
      </c>
      <c r="AD35">
        <f>IF(AND($D35&lt;=DATE(2026,6,30),$E35&gt;=DATE(2026,6,22)),1,"")</f>
        <v/>
      </c>
      <c r="AE35">
        <f>IF(AND($D35&lt;=DATE(2026,7,7),$E35&gt;=DATE(2026,7,1)),1,"")</f>
        <v/>
      </c>
      <c r="AF35">
        <f>IF(AND($D35&lt;=DATE(2026,7,14),$E35&gt;=DATE(2026,7,8)),1,"")</f>
        <v/>
      </c>
      <c r="AG35">
        <f>IF(AND($D35&lt;=DATE(2026,7,21),$E35&gt;=DATE(2026,7,15)),1,"")</f>
        <v/>
      </c>
      <c r="AH35">
        <f>IF(AND($D35&lt;=DATE(2026,7,31),$E35&gt;=DATE(2026,7,22)),1,"")</f>
        <v/>
      </c>
      <c r="AI35">
        <f>IF(AND($D35&lt;=DATE(2026,8,7),$E35&gt;=DATE(2026,8,1)),1,"")</f>
        <v/>
      </c>
      <c r="AJ35">
        <f>IF(AND($D35&lt;=DATE(2026,8,14),$E35&gt;=DATE(2026,8,8)),1,"")</f>
        <v/>
      </c>
      <c r="AK35">
        <f>IF(AND($D35&lt;=DATE(2026,8,21),$E35&gt;=DATE(2026,8,15)),1,"")</f>
        <v/>
      </c>
      <c r="AL35">
        <f>IF(AND($D35&lt;=DATE(2026,8,31),$E35&gt;=DATE(2026,8,22)),1,"")</f>
        <v/>
      </c>
      <c r="AM35">
        <f>IF(AND($D35&lt;=DATE(2026,9,7),$E35&gt;=DATE(2026,9,1)),1,"")</f>
        <v/>
      </c>
      <c r="AN35">
        <f>IF(AND($D35&lt;=DATE(2026,9,14),$E35&gt;=DATE(2026,9,8)),1,"")</f>
        <v/>
      </c>
      <c r="AO35">
        <f>IF(AND($D35&lt;=DATE(2026,9,21),$E35&gt;=DATE(2026,9,15)),1,"")</f>
        <v/>
      </c>
      <c r="AP35">
        <f>IF(AND($D35&lt;=DATE(2026,9,30),$E35&gt;=DATE(2026,9,22)),1,"")</f>
        <v/>
      </c>
      <c r="AQ35">
        <f>IF(AND($D35&lt;=DATE(2026,10,7),$E35&gt;=DATE(2026,10,1)),1,"")</f>
        <v/>
      </c>
      <c r="AR35">
        <f>IF(AND($D35&lt;=DATE(2026,10,14),$E35&gt;=DATE(2026,10,8)),1,"")</f>
        <v/>
      </c>
      <c r="AS35">
        <f>IF(AND($D35&lt;=DATE(2026,10,21),$E35&gt;=DATE(2026,10,15)),1,"")</f>
        <v/>
      </c>
      <c r="AT35">
        <f>IF(AND($D35&lt;=DATE(2026,10,31),$E35&gt;=DATE(2026,10,22)),1,"")</f>
        <v/>
      </c>
      <c r="AU35">
        <f>IF(AND($D35&lt;=DATE(2026,11,7),$E35&gt;=DATE(2026,11,1)),1,"")</f>
        <v/>
      </c>
      <c r="AV35">
        <f>IF(AND($D35&lt;=DATE(2026,11,14),$E35&gt;=DATE(2026,11,8)),1,"")</f>
        <v/>
      </c>
      <c r="AW35">
        <f>IF(AND($D35&lt;=DATE(2026,11,21),$E35&gt;=DATE(2026,11,15)),1,"")</f>
        <v/>
      </c>
      <c r="AX35">
        <f>IF(AND($D35&lt;=DATE(2026,11,30),$E35&gt;=DATE(2026,11,22)),1,"")</f>
        <v/>
      </c>
      <c r="AY35">
        <f>IF(AND($D35&lt;=DATE(2026,12,7),$E35&gt;=DATE(2026,12,1)),1,"")</f>
        <v/>
      </c>
      <c r="AZ35">
        <f>IF(AND($D35&lt;=DATE(2026,12,14),$E35&gt;=DATE(2026,12,8)),1,"")</f>
        <v/>
      </c>
      <c r="BA35">
        <f>IF(AND($D35&lt;=DATE(2026,12,21),$E35&gt;=DATE(2026,12,15)),1,"")</f>
        <v/>
      </c>
      <c r="BB35">
        <f>IF(AND($D35&lt;=DATE(2026,12,31),$E35&gt;=DATE(2026,12,22)),1,"")</f>
        <v/>
      </c>
    </row>
    <row r="36" ht="15" customHeight="1">
      <c r="F36">
        <f>IF(OR(D36="",E36=""),"",E36-D36+1)</f>
        <v/>
      </c>
      <c r="G36">
        <f>IF(AND($D36&lt;=DATE(2026,1,7),$E36&gt;=DATE(2026,1,1)),1,"")</f>
        <v/>
      </c>
      <c r="H36">
        <f>IF(AND($D36&lt;=DATE(2026,1,14),$E36&gt;=DATE(2026,1,8)),1,"")</f>
        <v/>
      </c>
      <c r="I36">
        <f>IF(AND($D36&lt;=DATE(2026,1,21),$E36&gt;=DATE(2026,1,15)),1,"")</f>
        <v/>
      </c>
      <c r="J36">
        <f>IF(AND($D36&lt;=DATE(2026,1,31),$E36&gt;=DATE(2026,1,22)),1,"")</f>
        <v/>
      </c>
      <c r="K36">
        <f>IF(AND($D36&lt;=DATE(2026,2,7),$E36&gt;=DATE(2026,2,1)),1,"")</f>
        <v/>
      </c>
      <c r="L36">
        <f>IF(AND($D36&lt;=DATE(2026,2,14),$E36&gt;=DATE(2026,2,8)),1,"")</f>
        <v/>
      </c>
      <c r="M36">
        <f>IF(AND($D36&lt;=DATE(2026,2,21),$E36&gt;=DATE(2026,2,15)),1,"")</f>
        <v/>
      </c>
      <c r="N36">
        <f>IF(AND($D36&lt;=DATE(2026,2,28),$E36&gt;=DATE(2026,2,22)),1,"")</f>
        <v/>
      </c>
      <c r="O36">
        <f>IF(AND($D36&lt;=DATE(2026,3,7),$E36&gt;=DATE(2026,3,1)),1,"")</f>
        <v/>
      </c>
      <c r="P36">
        <f>IF(AND($D36&lt;=DATE(2026,3,14),$E36&gt;=DATE(2026,3,8)),1,"")</f>
        <v/>
      </c>
      <c r="Q36">
        <f>IF(AND($D36&lt;=DATE(2026,3,21),$E36&gt;=DATE(2026,3,15)),1,"")</f>
        <v/>
      </c>
      <c r="R36">
        <f>IF(AND($D36&lt;=DATE(2026,3,31),$E36&gt;=DATE(2026,3,22)),1,"")</f>
        <v/>
      </c>
      <c r="S36">
        <f>IF(AND($D36&lt;=DATE(2026,4,7),$E36&gt;=DATE(2026,4,1)),1,"")</f>
        <v/>
      </c>
      <c r="T36">
        <f>IF(AND($D36&lt;=DATE(2026,4,14),$E36&gt;=DATE(2026,4,8)),1,"")</f>
        <v/>
      </c>
      <c r="U36">
        <f>IF(AND($D36&lt;=DATE(2026,4,21),$E36&gt;=DATE(2026,4,15)),1,"")</f>
        <v/>
      </c>
      <c r="V36">
        <f>IF(AND($D36&lt;=DATE(2026,4,30),$E36&gt;=DATE(2026,4,22)),1,"")</f>
        <v/>
      </c>
      <c r="W36">
        <f>IF(AND($D36&lt;=DATE(2026,5,7),$E36&gt;=DATE(2026,5,1)),1,"")</f>
        <v/>
      </c>
      <c r="X36">
        <f>IF(AND($D36&lt;=DATE(2026,5,14),$E36&gt;=DATE(2026,5,8)),1,"")</f>
        <v/>
      </c>
      <c r="Y36">
        <f>IF(AND($D36&lt;=DATE(2026,5,21),$E36&gt;=DATE(2026,5,15)),1,"")</f>
        <v/>
      </c>
      <c r="Z36">
        <f>IF(AND($D36&lt;=DATE(2026,5,31),$E36&gt;=DATE(2026,5,22)),1,"")</f>
        <v/>
      </c>
      <c r="AA36">
        <f>IF(AND($D36&lt;=DATE(2026,6,7),$E36&gt;=DATE(2026,6,1)),1,"")</f>
        <v/>
      </c>
      <c r="AB36">
        <f>IF(AND($D36&lt;=DATE(2026,6,14),$E36&gt;=DATE(2026,6,8)),1,"")</f>
        <v/>
      </c>
      <c r="AC36">
        <f>IF(AND($D36&lt;=DATE(2026,6,21),$E36&gt;=DATE(2026,6,15)),1,"")</f>
        <v/>
      </c>
      <c r="AD36">
        <f>IF(AND($D36&lt;=DATE(2026,6,30),$E36&gt;=DATE(2026,6,22)),1,"")</f>
        <v/>
      </c>
      <c r="AE36">
        <f>IF(AND($D36&lt;=DATE(2026,7,7),$E36&gt;=DATE(2026,7,1)),1,"")</f>
        <v/>
      </c>
      <c r="AF36">
        <f>IF(AND($D36&lt;=DATE(2026,7,14),$E36&gt;=DATE(2026,7,8)),1,"")</f>
        <v/>
      </c>
      <c r="AG36">
        <f>IF(AND($D36&lt;=DATE(2026,7,21),$E36&gt;=DATE(2026,7,15)),1,"")</f>
        <v/>
      </c>
      <c r="AH36">
        <f>IF(AND($D36&lt;=DATE(2026,7,31),$E36&gt;=DATE(2026,7,22)),1,"")</f>
        <v/>
      </c>
      <c r="AI36">
        <f>IF(AND($D36&lt;=DATE(2026,8,7),$E36&gt;=DATE(2026,8,1)),1,"")</f>
        <v/>
      </c>
      <c r="AJ36">
        <f>IF(AND($D36&lt;=DATE(2026,8,14),$E36&gt;=DATE(2026,8,8)),1,"")</f>
        <v/>
      </c>
      <c r="AK36">
        <f>IF(AND($D36&lt;=DATE(2026,8,21),$E36&gt;=DATE(2026,8,15)),1,"")</f>
        <v/>
      </c>
      <c r="AL36">
        <f>IF(AND($D36&lt;=DATE(2026,8,31),$E36&gt;=DATE(2026,8,22)),1,"")</f>
        <v/>
      </c>
      <c r="AM36">
        <f>IF(AND($D36&lt;=DATE(2026,9,7),$E36&gt;=DATE(2026,9,1)),1,"")</f>
        <v/>
      </c>
      <c r="AN36">
        <f>IF(AND($D36&lt;=DATE(2026,9,14),$E36&gt;=DATE(2026,9,8)),1,"")</f>
        <v/>
      </c>
      <c r="AO36">
        <f>IF(AND($D36&lt;=DATE(2026,9,21),$E36&gt;=DATE(2026,9,15)),1,"")</f>
        <v/>
      </c>
      <c r="AP36">
        <f>IF(AND($D36&lt;=DATE(2026,9,30),$E36&gt;=DATE(2026,9,22)),1,"")</f>
        <v/>
      </c>
      <c r="AQ36">
        <f>IF(AND($D36&lt;=DATE(2026,10,7),$E36&gt;=DATE(2026,10,1)),1,"")</f>
        <v/>
      </c>
      <c r="AR36">
        <f>IF(AND($D36&lt;=DATE(2026,10,14),$E36&gt;=DATE(2026,10,8)),1,"")</f>
        <v/>
      </c>
      <c r="AS36">
        <f>IF(AND($D36&lt;=DATE(2026,10,21),$E36&gt;=DATE(2026,10,15)),1,"")</f>
        <v/>
      </c>
      <c r="AT36">
        <f>IF(AND($D36&lt;=DATE(2026,10,31),$E36&gt;=DATE(2026,10,22)),1,"")</f>
        <v/>
      </c>
      <c r="AU36">
        <f>IF(AND($D36&lt;=DATE(2026,11,7),$E36&gt;=DATE(2026,11,1)),1,"")</f>
        <v/>
      </c>
      <c r="AV36">
        <f>IF(AND($D36&lt;=DATE(2026,11,14),$E36&gt;=DATE(2026,11,8)),1,"")</f>
        <v/>
      </c>
      <c r="AW36">
        <f>IF(AND($D36&lt;=DATE(2026,11,21),$E36&gt;=DATE(2026,11,15)),1,"")</f>
        <v/>
      </c>
      <c r="AX36">
        <f>IF(AND($D36&lt;=DATE(2026,11,30),$E36&gt;=DATE(2026,11,22)),1,"")</f>
        <v/>
      </c>
      <c r="AY36">
        <f>IF(AND($D36&lt;=DATE(2026,12,7),$E36&gt;=DATE(2026,12,1)),1,"")</f>
        <v/>
      </c>
      <c r="AZ36">
        <f>IF(AND($D36&lt;=DATE(2026,12,14),$E36&gt;=DATE(2026,12,8)),1,"")</f>
        <v/>
      </c>
      <c r="BA36">
        <f>IF(AND($D36&lt;=DATE(2026,12,21),$E36&gt;=DATE(2026,12,15)),1,"")</f>
        <v/>
      </c>
      <c r="BB36">
        <f>IF(AND($D36&lt;=DATE(2026,12,31),$E36&gt;=DATE(2026,12,22)),1,"")</f>
        <v/>
      </c>
    </row>
    <row r="37" ht="15" customHeight="1">
      <c r="F37">
        <f>IF(OR(D37="",E37=""),"",E37-D37+1)</f>
        <v/>
      </c>
      <c r="G37">
        <f>IF(AND($D37&lt;=DATE(2026,1,7),$E37&gt;=DATE(2026,1,1)),1,"")</f>
        <v/>
      </c>
      <c r="H37">
        <f>IF(AND($D37&lt;=DATE(2026,1,14),$E37&gt;=DATE(2026,1,8)),1,"")</f>
        <v/>
      </c>
      <c r="I37">
        <f>IF(AND($D37&lt;=DATE(2026,1,21),$E37&gt;=DATE(2026,1,15)),1,"")</f>
        <v/>
      </c>
      <c r="J37">
        <f>IF(AND($D37&lt;=DATE(2026,1,31),$E37&gt;=DATE(2026,1,22)),1,"")</f>
        <v/>
      </c>
      <c r="K37">
        <f>IF(AND($D37&lt;=DATE(2026,2,7),$E37&gt;=DATE(2026,2,1)),1,"")</f>
        <v/>
      </c>
      <c r="L37">
        <f>IF(AND($D37&lt;=DATE(2026,2,14),$E37&gt;=DATE(2026,2,8)),1,"")</f>
        <v/>
      </c>
      <c r="M37">
        <f>IF(AND($D37&lt;=DATE(2026,2,21),$E37&gt;=DATE(2026,2,15)),1,"")</f>
        <v/>
      </c>
      <c r="N37">
        <f>IF(AND($D37&lt;=DATE(2026,2,28),$E37&gt;=DATE(2026,2,22)),1,"")</f>
        <v/>
      </c>
      <c r="O37">
        <f>IF(AND($D37&lt;=DATE(2026,3,7),$E37&gt;=DATE(2026,3,1)),1,"")</f>
        <v/>
      </c>
      <c r="P37">
        <f>IF(AND($D37&lt;=DATE(2026,3,14),$E37&gt;=DATE(2026,3,8)),1,"")</f>
        <v/>
      </c>
      <c r="Q37">
        <f>IF(AND($D37&lt;=DATE(2026,3,21),$E37&gt;=DATE(2026,3,15)),1,"")</f>
        <v/>
      </c>
      <c r="R37">
        <f>IF(AND($D37&lt;=DATE(2026,3,31),$E37&gt;=DATE(2026,3,22)),1,"")</f>
        <v/>
      </c>
      <c r="S37">
        <f>IF(AND($D37&lt;=DATE(2026,4,7),$E37&gt;=DATE(2026,4,1)),1,"")</f>
        <v/>
      </c>
      <c r="T37">
        <f>IF(AND($D37&lt;=DATE(2026,4,14),$E37&gt;=DATE(2026,4,8)),1,"")</f>
        <v/>
      </c>
      <c r="U37">
        <f>IF(AND($D37&lt;=DATE(2026,4,21),$E37&gt;=DATE(2026,4,15)),1,"")</f>
        <v/>
      </c>
      <c r="V37">
        <f>IF(AND($D37&lt;=DATE(2026,4,30),$E37&gt;=DATE(2026,4,22)),1,"")</f>
        <v/>
      </c>
      <c r="W37">
        <f>IF(AND($D37&lt;=DATE(2026,5,7),$E37&gt;=DATE(2026,5,1)),1,"")</f>
        <v/>
      </c>
      <c r="X37">
        <f>IF(AND($D37&lt;=DATE(2026,5,14),$E37&gt;=DATE(2026,5,8)),1,"")</f>
        <v/>
      </c>
      <c r="Y37">
        <f>IF(AND($D37&lt;=DATE(2026,5,21),$E37&gt;=DATE(2026,5,15)),1,"")</f>
        <v/>
      </c>
      <c r="Z37">
        <f>IF(AND($D37&lt;=DATE(2026,5,31),$E37&gt;=DATE(2026,5,22)),1,"")</f>
        <v/>
      </c>
      <c r="AA37">
        <f>IF(AND($D37&lt;=DATE(2026,6,7),$E37&gt;=DATE(2026,6,1)),1,"")</f>
        <v/>
      </c>
      <c r="AB37">
        <f>IF(AND($D37&lt;=DATE(2026,6,14),$E37&gt;=DATE(2026,6,8)),1,"")</f>
        <v/>
      </c>
      <c r="AC37">
        <f>IF(AND($D37&lt;=DATE(2026,6,21),$E37&gt;=DATE(2026,6,15)),1,"")</f>
        <v/>
      </c>
      <c r="AD37">
        <f>IF(AND($D37&lt;=DATE(2026,6,30),$E37&gt;=DATE(2026,6,22)),1,"")</f>
        <v/>
      </c>
      <c r="AE37">
        <f>IF(AND($D37&lt;=DATE(2026,7,7),$E37&gt;=DATE(2026,7,1)),1,"")</f>
        <v/>
      </c>
      <c r="AF37">
        <f>IF(AND($D37&lt;=DATE(2026,7,14),$E37&gt;=DATE(2026,7,8)),1,"")</f>
        <v/>
      </c>
      <c r="AG37">
        <f>IF(AND($D37&lt;=DATE(2026,7,21),$E37&gt;=DATE(2026,7,15)),1,"")</f>
        <v/>
      </c>
      <c r="AH37">
        <f>IF(AND($D37&lt;=DATE(2026,7,31),$E37&gt;=DATE(2026,7,22)),1,"")</f>
        <v/>
      </c>
      <c r="AI37">
        <f>IF(AND($D37&lt;=DATE(2026,8,7),$E37&gt;=DATE(2026,8,1)),1,"")</f>
        <v/>
      </c>
      <c r="AJ37">
        <f>IF(AND($D37&lt;=DATE(2026,8,14),$E37&gt;=DATE(2026,8,8)),1,"")</f>
        <v/>
      </c>
      <c r="AK37">
        <f>IF(AND($D37&lt;=DATE(2026,8,21),$E37&gt;=DATE(2026,8,15)),1,"")</f>
        <v/>
      </c>
      <c r="AL37">
        <f>IF(AND($D37&lt;=DATE(2026,8,31),$E37&gt;=DATE(2026,8,22)),1,"")</f>
        <v/>
      </c>
      <c r="AM37">
        <f>IF(AND($D37&lt;=DATE(2026,9,7),$E37&gt;=DATE(2026,9,1)),1,"")</f>
        <v/>
      </c>
      <c r="AN37">
        <f>IF(AND($D37&lt;=DATE(2026,9,14),$E37&gt;=DATE(2026,9,8)),1,"")</f>
        <v/>
      </c>
      <c r="AO37">
        <f>IF(AND($D37&lt;=DATE(2026,9,21),$E37&gt;=DATE(2026,9,15)),1,"")</f>
        <v/>
      </c>
      <c r="AP37">
        <f>IF(AND($D37&lt;=DATE(2026,9,30),$E37&gt;=DATE(2026,9,22)),1,"")</f>
        <v/>
      </c>
      <c r="AQ37">
        <f>IF(AND($D37&lt;=DATE(2026,10,7),$E37&gt;=DATE(2026,10,1)),1,"")</f>
        <v/>
      </c>
      <c r="AR37">
        <f>IF(AND($D37&lt;=DATE(2026,10,14),$E37&gt;=DATE(2026,10,8)),1,"")</f>
        <v/>
      </c>
      <c r="AS37">
        <f>IF(AND($D37&lt;=DATE(2026,10,21),$E37&gt;=DATE(2026,10,15)),1,"")</f>
        <v/>
      </c>
      <c r="AT37">
        <f>IF(AND($D37&lt;=DATE(2026,10,31),$E37&gt;=DATE(2026,10,22)),1,"")</f>
        <v/>
      </c>
      <c r="AU37">
        <f>IF(AND($D37&lt;=DATE(2026,11,7),$E37&gt;=DATE(2026,11,1)),1,"")</f>
        <v/>
      </c>
      <c r="AV37">
        <f>IF(AND($D37&lt;=DATE(2026,11,14),$E37&gt;=DATE(2026,11,8)),1,"")</f>
        <v/>
      </c>
      <c r="AW37">
        <f>IF(AND($D37&lt;=DATE(2026,11,21),$E37&gt;=DATE(2026,11,15)),1,"")</f>
        <v/>
      </c>
      <c r="AX37">
        <f>IF(AND($D37&lt;=DATE(2026,11,30),$E37&gt;=DATE(2026,11,22)),1,"")</f>
        <v/>
      </c>
      <c r="AY37">
        <f>IF(AND($D37&lt;=DATE(2026,12,7),$E37&gt;=DATE(2026,12,1)),1,"")</f>
        <v/>
      </c>
      <c r="AZ37">
        <f>IF(AND($D37&lt;=DATE(2026,12,14),$E37&gt;=DATE(2026,12,8)),1,"")</f>
        <v/>
      </c>
      <c r="BA37">
        <f>IF(AND($D37&lt;=DATE(2026,12,21),$E37&gt;=DATE(2026,12,15)),1,"")</f>
        <v/>
      </c>
      <c r="BB37">
        <f>IF(AND($D37&lt;=DATE(2026,12,31),$E37&gt;=DATE(2026,12,22)),1,"")</f>
        <v/>
      </c>
    </row>
    <row r="38" ht="15" customHeight="1">
      <c r="F38">
        <f>IF(OR(D38="",E38=""),"",E38-D38+1)</f>
        <v/>
      </c>
      <c r="G38">
        <f>IF(AND($D38&lt;=DATE(2026,1,7),$E38&gt;=DATE(2026,1,1)),1,"")</f>
        <v/>
      </c>
      <c r="H38">
        <f>IF(AND($D38&lt;=DATE(2026,1,14),$E38&gt;=DATE(2026,1,8)),1,"")</f>
        <v/>
      </c>
      <c r="I38">
        <f>IF(AND($D38&lt;=DATE(2026,1,21),$E38&gt;=DATE(2026,1,15)),1,"")</f>
        <v/>
      </c>
      <c r="J38">
        <f>IF(AND($D38&lt;=DATE(2026,1,31),$E38&gt;=DATE(2026,1,22)),1,"")</f>
        <v/>
      </c>
      <c r="K38">
        <f>IF(AND($D38&lt;=DATE(2026,2,7),$E38&gt;=DATE(2026,2,1)),1,"")</f>
        <v/>
      </c>
      <c r="L38">
        <f>IF(AND($D38&lt;=DATE(2026,2,14),$E38&gt;=DATE(2026,2,8)),1,"")</f>
        <v/>
      </c>
      <c r="M38">
        <f>IF(AND($D38&lt;=DATE(2026,2,21),$E38&gt;=DATE(2026,2,15)),1,"")</f>
        <v/>
      </c>
      <c r="N38">
        <f>IF(AND($D38&lt;=DATE(2026,2,28),$E38&gt;=DATE(2026,2,22)),1,"")</f>
        <v/>
      </c>
      <c r="O38">
        <f>IF(AND($D38&lt;=DATE(2026,3,7),$E38&gt;=DATE(2026,3,1)),1,"")</f>
        <v/>
      </c>
      <c r="P38">
        <f>IF(AND($D38&lt;=DATE(2026,3,14),$E38&gt;=DATE(2026,3,8)),1,"")</f>
        <v/>
      </c>
      <c r="Q38">
        <f>IF(AND($D38&lt;=DATE(2026,3,21),$E38&gt;=DATE(2026,3,15)),1,"")</f>
        <v/>
      </c>
      <c r="R38">
        <f>IF(AND($D38&lt;=DATE(2026,3,31),$E38&gt;=DATE(2026,3,22)),1,"")</f>
        <v/>
      </c>
      <c r="S38">
        <f>IF(AND($D38&lt;=DATE(2026,4,7),$E38&gt;=DATE(2026,4,1)),1,"")</f>
        <v/>
      </c>
      <c r="T38">
        <f>IF(AND($D38&lt;=DATE(2026,4,14),$E38&gt;=DATE(2026,4,8)),1,"")</f>
        <v/>
      </c>
      <c r="U38">
        <f>IF(AND($D38&lt;=DATE(2026,4,21),$E38&gt;=DATE(2026,4,15)),1,"")</f>
        <v/>
      </c>
      <c r="V38">
        <f>IF(AND($D38&lt;=DATE(2026,4,30),$E38&gt;=DATE(2026,4,22)),1,"")</f>
        <v/>
      </c>
      <c r="W38">
        <f>IF(AND($D38&lt;=DATE(2026,5,7),$E38&gt;=DATE(2026,5,1)),1,"")</f>
        <v/>
      </c>
      <c r="X38">
        <f>IF(AND($D38&lt;=DATE(2026,5,14),$E38&gt;=DATE(2026,5,8)),1,"")</f>
        <v/>
      </c>
      <c r="Y38">
        <f>IF(AND($D38&lt;=DATE(2026,5,21),$E38&gt;=DATE(2026,5,15)),1,"")</f>
        <v/>
      </c>
      <c r="Z38">
        <f>IF(AND($D38&lt;=DATE(2026,5,31),$E38&gt;=DATE(2026,5,22)),1,"")</f>
        <v/>
      </c>
      <c r="AA38">
        <f>IF(AND($D38&lt;=DATE(2026,6,7),$E38&gt;=DATE(2026,6,1)),1,"")</f>
        <v/>
      </c>
      <c r="AB38">
        <f>IF(AND($D38&lt;=DATE(2026,6,14),$E38&gt;=DATE(2026,6,8)),1,"")</f>
        <v/>
      </c>
      <c r="AC38">
        <f>IF(AND($D38&lt;=DATE(2026,6,21),$E38&gt;=DATE(2026,6,15)),1,"")</f>
        <v/>
      </c>
      <c r="AD38">
        <f>IF(AND($D38&lt;=DATE(2026,6,30),$E38&gt;=DATE(2026,6,22)),1,"")</f>
        <v/>
      </c>
      <c r="AE38">
        <f>IF(AND($D38&lt;=DATE(2026,7,7),$E38&gt;=DATE(2026,7,1)),1,"")</f>
        <v/>
      </c>
      <c r="AF38">
        <f>IF(AND($D38&lt;=DATE(2026,7,14),$E38&gt;=DATE(2026,7,8)),1,"")</f>
        <v/>
      </c>
      <c r="AG38">
        <f>IF(AND($D38&lt;=DATE(2026,7,21),$E38&gt;=DATE(2026,7,15)),1,"")</f>
        <v/>
      </c>
      <c r="AH38">
        <f>IF(AND($D38&lt;=DATE(2026,7,31),$E38&gt;=DATE(2026,7,22)),1,"")</f>
        <v/>
      </c>
      <c r="AI38">
        <f>IF(AND($D38&lt;=DATE(2026,8,7),$E38&gt;=DATE(2026,8,1)),1,"")</f>
        <v/>
      </c>
      <c r="AJ38">
        <f>IF(AND($D38&lt;=DATE(2026,8,14),$E38&gt;=DATE(2026,8,8)),1,"")</f>
        <v/>
      </c>
      <c r="AK38">
        <f>IF(AND($D38&lt;=DATE(2026,8,21),$E38&gt;=DATE(2026,8,15)),1,"")</f>
        <v/>
      </c>
      <c r="AL38">
        <f>IF(AND($D38&lt;=DATE(2026,8,31),$E38&gt;=DATE(2026,8,22)),1,"")</f>
        <v/>
      </c>
      <c r="AM38">
        <f>IF(AND($D38&lt;=DATE(2026,9,7),$E38&gt;=DATE(2026,9,1)),1,"")</f>
        <v/>
      </c>
      <c r="AN38">
        <f>IF(AND($D38&lt;=DATE(2026,9,14),$E38&gt;=DATE(2026,9,8)),1,"")</f>
        <v/>
      </c>
      <c r="AO38">
        <f>IF(AND($D38&lt;=DATE(2026,9,21),$E38&gt;=DATE(2026,9,15)),1,"")</f>
        <v/>
      </c>
      <c r="AP38">
        <f>IF(AND($D38&lt;=DATE(2026,9,30),$E38&gt;=DATE(2026,9,22)),1,"")</f>
        <v/>
      </c>
      <c r="AQ38">
        <f>IF(AND($D38&lt;=DATE(2026,10,7),$E38&gt;=DATE(2026,10,1)),1,"")</f>
        <v/>
      </c>
      <c r="AR38">
        <f>IF(AND($D38&lt;=DATE(2026,10,14),$E38&gt;=DATE(2026,10,8)),1,"")</f>
        <v/>
      </c>
      <c r="AS38">
        <f>IF(AND($D38&lt;=DATE(2026,10,21),$E38&gt;=DATE(2026,10,15)),1,"")</f>
        <v/>
      </c>
      <c r="AT38">
        <f>IF(AND($D38&lt;=DATE(2026,10,31),$E38&gt;=DATE(2026,10,22)),1,"")</f>
        <v/>
      </c>
      <c r="AU38">
        <f>IF(AND($D38&lt;=DATE(2026,11,7),$E38&gt;=DATE(2026,11,1)),1,"")</f>
        <v/>
      </c>
      <c r="AV38">
        <f>IF(AND($D38&lt;=DATE(2026,11,14),$E38&gt;=DATE(2026,11,8)),1,"")</f>
        <v/>
      </c>
      <c r="AW38">
        <f>IF(AND($D38&lt;=DATE(2026,11,21),$E38&gt;=DATE(2026,11,15)),1,"")</f>
        <v/>
      </c>
      <c r="AX38">
        <f>IF(AND($D38&lt;=DATE(2026,11,30),$E38&gt;=DATE(2026,11,22)),1,"")</f>
        <v/>
      </c>
      <c r="AY38">
        <f>IF(AND($D38&lt;=DATE(2026,12,7),$E38&gt;=DATE(2026,12,1)),1,"")</f>
        <v/>
      </c>
      <c r="AZ38">
        <f>IF(AND($D38&lt;=DATE(2026,12,14),$E38&gt;=DATE(2026,12,8)),1,"")</f>
        <v/>
      </c>
      <c r="BA38">
        <f>IF(AND($D38&lt;=DATE(2026,12,21),$E38&gt;=DATE(2026,12,15)),1,"")</f>
        <v/>
      </c>
      <c r="BB38">
        <f>IF(AND($D38&lt;=DATE(2026,12,31),$E38&gt;=DATE(2026,12,22)),1,"")</f>
        <v/>
      </c>
    </row>
    <row r="39" ht="15" customHeight="1">
      <c r="F39">
        <f>IF(OR(D39="",E39=""),"",E39-D39+1)</f>
        <v/>
      </c>
      <c r="G39">
        <f>IF(AND($D39&lt;=DATE(2026,1,7),$E39&gt;=DATE(2026,1,1)),1,"")</f>
        <v/>
      </c>
      <c r="H39">
        <f>IF(AND($D39&lt;=DATE(2026,1,14),$E39&gt;=DATE(2026,1,8)),1,"")</f>
        <v/>
      </c>
      <c r="I39">
        <f>IF(AND($D39&lt;=DATE(2026,1,21),$E39&gt;=DATE(2026,1,15)),1,"")</f>
        <v/>
      </c>
      <c r="J39">
        <f>IF(AND($D39&lt;=DATE(2026,1,31),$E39&gt;=DATE(2026,1,22)),1,"")</f>
        <v/>
      </c>
      <c r="K39">
        <f>IF(AND($D39&lt;=DATE(2026,2,7),$E39&gt;=DATE(2026,2,1)),1,"")</f>
        <v/>
      </c>
      <c r="L39">
        <f>IF(AND($D39&lt;=DATE(2026,2,14),$E39&gt;=DATE(2026,2,8)),1,"")</f>
        <v/>
      </c>
      <c r="M39">
        <f>IF(AND($D39&lt;=DATE(2026,2,21),$E39&gt;=DATE(2026,2,15)),1,"")</f>
        <v/>
      </c>
      <c r="N39">
        <f>IF(AND($D39&lt;=DATE(2026,2,28),$E39&gt;=DATE(2026,2,22)),1,"")</f>
        <v/>
      </c>
      <c r="O39">
        <f>IF(AND($D39&lt;=DATE(2026,3,7),$E39&gt;=DATE(2026,3,1)),1,"")</f>
        <v/>
      </c>
      <c r="P39">
        <f>IF(AND($D39&lt;=DATE(2026,3,14),$E39&gt;=DATE(2026,3,8)),1,"")</f>
        <v/>
      </c>
      <c r="Q39">
        <f>IF(AND($D39&lt;=DATE(2026,3,21),$E39&gt;=DATE(2026,3,15)),1,"")</f>
        <v/>
      </c>
      <c r="R39">
        <f>IF(AND($D39&lt;=DATE(2026,3,31),$E39&gt;=DATE(2026,3,22)),1,"")</f>
        <v/>
      </c>
      <c r="S39">
        <f>IF(AND($D39&lt;=DATE(2026,4,7),$E39&gt;=DATE(2026,4,1)),1,"")</f>
        <v/>
      </c>
      <c r="T39">
        <f>IF(AND($D39&lt;=DATE(2026,4,14),$E39&gt;=DATE(2026,4,8)),1,"")</f>
        <v/>
      </c>
      <c r="U39">
        <f>IF(AND($D39&lt;=DATE(2026,4,21),$E39&gt;=DATE(2026,4,15)),1,"")</f>
        <v/>
      </c>
      <c r="V39">
        <f>IF(AND($D39&lt;=DATE(2026,4,30),$E39&gt;=DATE(2026,4,22)),1,"")</f>
        <v/>
      </c>
      <c r="W39">
        <f>IF(AND($D39&lt;=DATE(2026,5,7),$E39&gt;=DATE(2026,5,1)),1,"")</f>
        <v/>
      </c>
      <c r="X39">
        <f>IF(AND($D39&lt;=DATE(2026,5,14),$E39&gt;=DATE(2026,5,8)),1,"")</f>
        <v/>
      </c>
      <c r="Y39">
        <f>IF(AND($D39&lt;=DATE(2026,5,21),$E39&gt;=DATE(2026,5,15)),1,"")</f>
        <v/>
      </c>
      <c r="Z39">
        <f>IF(AND($D39&lt;=DATE(2026,5,31),$E39&gt;=DATE(2026,5,22)),1,"")</f>
        <v/>
      </c>
      <c r="AA39">
        <f>IF(AND($D39&lt;=DATE(2026,6,7),$E39&gt;=DATE(2026,6,1)),1,"")</f>
        <v/>
      </c>
      <c r="AB39">
        <f>IF(AND($D39&lt;=DATE(2026,6,14),$E39&gt;=DATE(2026,6,8)),1,"")</f>
        <v/>
      </c>
      <c r="AC39">
        <f>IF(AND($D39&lt;=DATE(2026,6,21),$E39&gt;=DATE(2026,6,15)),1,"")</f>
        <v/>
      </c>
      <c r="AD39">
        <f>IF(AND($D39&lt;=DATE(2026,6,30),$E39&gt;=DATE(2026,6,22)),1,"")</f>
        <v/>
      </c>
      <c r="AE39">
        <f>IF(AND($D39&lt;=DATE(2026,7,7),$E39&gt;=DATE(2026,7,1)),1,"")</f>
        <v/>
      </c>
      <c r="AF39">
        <f>IF(AND($D39&lt;=DATE(2026,7,14),$E39&gt;=DATE(2026,7,8)),1,"")</f>
        <v/>
      </c>
      <c r="AG39">
        <f>IF(AND($D39&lt;=DATE(2026,7,21),$E39&gt;=DATE(2026,7,15)),1,"")</f>
        <v/>
      </c>
      <c r="AH39">
        <f>IF(AND($D39&lt;=DATE(2026,7,31),$E39&gt;=DATE(2026,7,22)),1,"")</f>
        <v/>
      </c>
      <c r="AI39">
        <f>IF(AND($D39&lt;=DATE(2026,8,7),$E39&gt;=DATE(2026,8,1)),1,"")</f>
        <v/>
      </c>
      <c r="AJ39">
        <f>IF(AND($D39&lt;=DATE(2026,8,14),$E39&gt;=DATE(2026,8,8)),1,"")</f>
        <v/>
      </c>
      <c r="AK39">
        <f>IF(AND($D39&lt;=DATE(2026,8,21),$E39&gt;=DATE(2026,8,15)),1,"")</f>
        <v/>
      </c>
      <c r="AL39">
        <f>IF(AND($D39&lt;=DATE(2026,8,31),$E39&gt;=DATE(2026,8,22)),1,"")</f>
        <v/>
      </c>
      <c r="AM39">
        <f>IF(AND($D39&lt;=DATE(2026,9,7),$E39&gt;=DATE(2026,9,1)),1,"")</f>
        <v/>
      </c>
      <c r="AN39">
        <f>IF(AND($D39&lt;=DATE(2026,9,14),$E39&gt;=DATE(2026,9,8)),1,"")</f>
        <v/>
      </c>
      <c r="AO39">
        <f>IF(AND($D39&lt;=DATE(2026,9,21),$E39&gt;=DATE(2026,9,15)),1,"")</f>
        <v/>
      </c>
      <c r="AP39">
        <f>IF(AND($D39&lt;=DATE(2026,9,30),$E39&gt;=DATE(2026,9,22)),1,"")</f>
        <v/>
      </c>
      <c r="AQ39">
        <f>IF(AND($D39&lt;=DATE(2026,10,7),$E39&gt;=DATE(2026,10,1)),1,"")</f>
        <v/>
      </c>
      <c r="AR39">
        <f>IF(AND($D39&lt;=DATE(2026,10,14),$E39&gt;=DATE(2026,10,8)),1,"")</f>
        <v/>
      </c>
      <c r="AS39">
        <f>IF(AND($D39&lt;=DATE(2026,10,21),$E39&gt;=DATE(2026,10,15)),1,"")</f>
        <v/>
      </c>
      <c r="AT39">
        <f>IF(AND($D39&lt;=DATE(2026,10,31),$E39&gt;=DATE(2026,10,22)),1,"")</f>
        <v/>
      </c>
      <c r="AU39">
        <f>IF(AND($D39&lt;=DATE(2026,11,7),$E39&gt;=DATE(2026,11,1)),1,"")</f>
        <v/>
      </c>
      <c r="AV39">
        <f>IF(AND($D39&lt;=DATE(2026,11,14),$E39&gt;=DATE(2026,11,8)),1,"")</f>
        <v/>
      </c>
      <c r="AW39">
        <f>IF(AND($D39&lt;=DATE(2026,11,21),$E39&gt;=DATE(2026,11,15)),1,"")</f>
        <v/>
      </c>
      <c r="AX39">
        <f>IF(AND($D39&lt;=DATE(2026,11,30),$E39&gt;=DATE(2026,11,22)),1,"")</f>
        <v/>
      </c>
      <c r="AY39">
        <f>IF(AND($D39&lt;=DATE(2026,12,7),$E39&gt;=DATE(2026,12,1)),1,"")</f>
        <v/>
      </c>
      <c r="AZ39">
        <f>IF(AND($D39&lt;=DATE(2026,12,14),$E39&gt;=DATE(2026,12,8)),1,"")</f>
        <v/>
      </c>
      <c r="BA39">
        <f>IF(AND($D39&lt;=DATE(2026,12,21),$E39&gt;=DATE(2026,12,15)),1,"")</f>
        <v/>
      </c>
      <c r="BB39">
        <f>IF(AND($D39&lt;=DATE(2026,12,31),$E39&gt;=DATE(2026,12,22)),1,"")</f>
        <v/>
      </c>
    </row>
    <row r="40" ht="15" customHeight="1"/>
    <row r="41" ht="15" customHeight="1">
      <c r="F41">
        <f>IF(OR(D41="",E41=""),"",E41-D41+1)</f>
        <v/>
      </c>
      <c r="G41">
        <f>IF(AND($D41&lt;=DATE(2026,1,7),$E41&gt;=DATE(2026,1,1)),1,"")</f>
        <v/>
      </c>
      <c r="H41">
        <f>IF(AND($D41&lt;=DATE(2026,1,14),$E41&gt;=DATE(2026,1,8)),1,"")</f>
        <v/>
      </c>
      <c r="I41">
        <f>IF(AND($D41&lt;=DATE(2026,1,21),$E41&gt;=DATE(2026,1,15)),1,"")</f>
        <v/>
      </c>
      <c r="J41">
        <f>IF(AND($D41&lt;=DATE(2026,1,31),$E41&gt;=DATE(2026,1,22)),1,"")</f>
        <v/>
      </c>
      <c r="K41">
        <f>IF(AND($D41&lt;=DATE(2026,2,7),$E41&gt;=DATE(2026,2,1)),1,"")</f>
        <v/>
      </c>
      <c r="L41">
        <f>IF(AND($D41&lt;=DATE(2026,2,14),$E41&gt;=DATE(2026,2,8)),1,"")</f>
        <v/>
      </c>
      <c r="M41">
        <f>IF(AND($D41&lt;=DATE(2026,2,21),$E41&gt;=DATE(2026,2,15)),1,"")</f>
        <v/>
      </c>
      <c r="N41">
        <f>IF(AND($D41&lt;=DATE(2026,2,28),$E41&gt;=DATE(2026,2,22)),1,"")</f>
        <v/>
      </c>
      <c r="O41">
        <f>IF(AND($D41&lt;=DATE(2026,3,7),$E41&gt;=DATE(2026,3,1)),1,"")</f>
        <v/>
      </c>
      <c r="P41">
        <f>IF(AND($D41&lt;=DATE(2026,3,14),$E41&gt;=DATE(2026,3,8)),1,"")</f>
        <v/>
      </c>
      <c r="Q41">
        <f>IF(AND($D41&lt;=DATE(2026,3,21),$E41&gt;=DATE(2026,3,15)),1,"")</f>
        <v/>
      </c>
      <c r="R41">
        <f>IF(AND($D41&lt;=DATE(2026,3,31),$E41&gt;=DATE(2026,3,22)),1,"")</f>
        <v/>
      </c>
      <c r="S41">
        <f>IF(AND($D41&lt;=DATE(2026,4,7),$E41&gt;=DATE(2026,4,1)),1,"")</f>
        <v/>
      </c>
      <c r="T41">
        <f>IF(AND($D41&lt;=DATE(2026,4,14),$E41&gt;=DATE(2026,4,8)),1,"")</f>
        <v/>
      </c>
      <c r="U41">
        <f>IF(AND($D41&lt;=DATE(2026,4,21),$E41&gt;=DATE(2026,4,15)),1,"")</f>
        <v/>
      </c>
      <c r="V41">
        <f>IF(AND($D41&lt;=DATE(2026,4,30),$E41&gt;=DATE(2026,4,22)),1,"")</f>
        <v/>
      </c>
      <c r="W41">
        <f>IF(AND($D41&lt;=DATE(2026,5,7),$E41&gt;=DATE(2026,5,1)),1,"")</f>
        <v/>
      </c>
      <c r="X41">
        <f>IF(AND($D41&lt;=DATE(2026,5,14),$E41&gt;=DATE(2026,5,8)),1,"")</f>
        <v/>
      </c>
      <c r="Y41">
        <f>IF(AND($D41&lt;=DATE(2026,5,21),$E41&gt;=DATE(2026,5,15)),1,"")</f>
        <v/>
      </c>
      <c r="Z41">
        <f>IF(AND($D41&lt;=DATE(2026,5,31),$E41&gt;=DATE(2026,5,22)),1,"")</f>
        <v/>
      </c>
      <c r="AA41">
        <f>IF(AND($D41&lt;=DATE(2026,6,7),$E41&gt;=DATE(2026,6,1)),1,"")</f>
        <v/>
      </c>
      <c r="AB41">
        <f>IF(AND($D41&lt;=DATE(2026,6,14),$E41&gt;=DATE(2026,6,8)),1,"")</f>
        <v/>
      </c>
      <c r="AC41">
        <f>IF(AND($D41&lt;=DATE(2026,6,21),$E41&gt;=DATE(2026,6,15)),1,"")</f>
        <v/>
      </c>
      <c r="AD41">
        <f>IF(AND($D41&lt;=DATE(2026,6,30),$E41&gt;=DATE(2026,6,22)),1,"")</f>
        <v/>
      </c>
      <c r="AE41">
        <f>IF(AND($D41&lt;=DATE(2026,7,7),$E41&gt;=DATE(2026,7,1)),1,"")</f>
        <v/>
      </c>
      <c r="AF41">
        <f>IF(AND($D41&lt;=DATE(2026,7,14),$E41&gt;=DATE(2026,7,8)),1,"")</f>
        <v/>
      </c>
      <c r="AG41">
        <f>IF(AND($D41&lt;=DATE(2026,7,21),$E41&gt;=DATE(2026,7,15)),1,"")</f>
        <v/>
      </c>
      <c r="AH41">
        <f>IF(AND($D41&lt;=DATE(2026,7,31),$E41&gt;=DATE(2026,7,22)),1,"")</f>
        <v/>
      </c>
      <c r="AI41">
        <f>IF(AND($D41&lt;=DATE(2026,8,7),$E41&gt;=DATE(2026,8,1)),1,"")</f>
        <v/>
      </c>
      <c r="AJ41">
        <f>IF(AND($D41&lt;=DATE(2026,8,14),$E41&gt;=DATE(2026,8,8)),1,"")</f>
        <v/>
      </c>
      <c r="AK41">
        <f>IF(AND($D41&lt;=DATE(2026,8,21),$E41&gt;=DATE(2026,8,15)),1,"")</f>
        <v/>
      </c>
      <c r="AL41">
        <f>IF(AND($D41&lt;=DATE(2026,8,31),$E41&gt;=DATE(2026,8,22)),1,"")</f>
        <v/>
      </c>
      <c r="AM41">
        <f>IF(AND($D41&lt;=DATE(2026,9,7),$E41&gt;=DATE(2026,9,1)),1,"")</f>
        <v/>
      </c>
      <c r="AN41">
        <f>IF(AND($D41&lt;=DATE(2026,9,14),$E41&gt;=DATE(2026,9,8)),1,"")</f>
        <v/>
      </c>
      <c r="AO41">
        <f>IF(AND($D41&lt;=DATE(2026,9,21),$E41&gt;=DATE(2026,9,15)),1,"")</f>
        <v/>
      </c>
      <c r="AP41">
        <f>IF(AND($D41&lt;=DATE(2026,9,30),$E41&gt;=DATE(2026,9,22)),1,"")</f>
        <v/>
      </c>
      <c r="AQ41">
        <f>IF(AND($D41&lt;=DATE(2026,10,7),$E41&gt;=DATE(2026,10,1)),1,"")</f>
        <v/>
      </c>
      <c r="AR41">
        <f>IF(AND($D41&lt;=DATE(2026,10,14),$E41&gt;=DATE(2026,10,8)),1,"")</f>
        <v/>
      </c>
      <c r="AS41">
        <f>IF(AND($D41&lt;=DATE(2026,10,21),$E41&gt;=DATE(2026,10,15)),1,"")</f>
        <v/>
      </c>
      <c r="AT41">
        <f>IF(AND($D41&lt;=DATE(2026,10,31),$E41&gt;=DATE(2026,10,22)),1,"")</f>
        <v/>
      </c>
      <c r="AU41">
        <f>IF(AND($D41&lt;=DATE(2026,11,7),$E41&gt;=DATE(2026,11,1)),1,"")</f>
        <v/>
      </c>
      <c r="AV41">
        <f>IF(AND($D41&lt;=DATE(2026,11,14),$E41&gt;=DATE(2026,11,8)),1,"")</f>
        <v/>
      </c>
      <c r="AW41">
        <f>IF(AND($D41&lt;=DATE(2026,11,21),$E41&gt;=DATE(2026,11,15)),1,"")</f>
        <v/>
      </c>
      <c r="AX41">
        <f>IF(AND($D41&lt;=DATE(2026,11,30),$E41&gt;=DATE(2026,11,22)),1,"")</f>
        <v/>
      </c>
      <c r="AY41">
        <f>IF(AND($D41&lt;=DATE(2026,12,7),$E41&gt;=DATE(2026,12,1)),1,"")</f>
        <v/>
      </c>
      <c r="AZ41">
        <f>IF(AND($D41&lt;=DATE(2026,12,14),$E41&gt;=DATE(2026,12,8)),1,"")</f>
        <v/>
      </c>
      <c r="BA41">
        <f>IF(AND($D41&lt;=DATE(2026,12,21),$E41&gt;=DATE(2026,12,15)),1,"")</f>
        <v/>
      </c>
      <c r="BB41">
        <f>IF(AND($D41&lt;=DATE(2026,12,31),$E41&gt;=DATE(2026,12,22)),1,"")</f>
        <v/>
      </c>
    </row>
    <row r="42" ht="15" customHeight="1">
      <c r="F42">
        <f>IF(OR(D42="",E42=""),"",E42-D42+1)</f>
        <v/>
      </c>
      <c r="G42">
        <f>IF(AND($D42&lt;=DATE(2026,1,7),$E42&gt;=DATE(2026,1,1)),1,"")</f>
        <v/>
      </c>
      <c r="H42">
        <f>IF(AND($D42&lt;=DATE(2026,1,14),$E42&gt;=DATE(2026,1,8)),1,"")</f>
        <v/>
      </c>
      <c r="I42">
        <f>IF(AND($D42&lt;=DATE(2026,1,21),$E42&gt;=DATE(2026,1,15)),1,"")</f>
        <v/>
      </c>
      <c r="J42">
        <f>IF(AND($D42&lt;=DATE(2026,1,31),$E42&gt;=DATE(2026,1,22)),1,"")</f>
        <v/>
      </c>
      <c r="K42">
        <f>IF(AND($D42&lt;=DATE(2026,2,7),$E42&gt;=DATE(2026,2,1)),1,"")</f>
        <v/>
      </c>
      <c r="L42">
        <f>IF(AND($D42&lt;=DATE(2026,2,14),$E42&gt;=DATE(2026,2,8)),1,"")</f>
        <v/>
      </c>
      <c r="M42">
        <f>IF(AND($D42&lt;=DATE(2026,2,21),$E42&gt;=DATE(2026,2,15)),1,"")</f>
        <v/>
      </c>
      <c r="N42">
        <f>IF(AND($D42&lt;=DATE(2026,2,28),$E42&gt;=DATE(2026,2,22)),1,"")</f>
        <v/>
      </c>
      <c r="O42">
        <f>IF(AND($D42&lt;=DATE(2026,3,7),$E42&gt;=DATE(2026,3,1)),1,"")</f>
        <v/>
      </c>
      <c r="P42">
        <f>IF(AND($D42&lt;=DATE(2026,3,14),$E42&gt;=DATE(2026,3,8)),1,"")</f>
        <v/>
      </c>
      <c r="Q42">
        <f>IF(AND($D42&lt;=DATE(2026,3,21),$E42&gt;=DATE(2026,3,15)),1,"")</f>
        <v/>
      </c>
      <c r="R42">
        <f>IF(AND($D42&lt;=DATE(2026,3,31),$E42&gt;=DATE(2026,3,22)),1,"")</f>
        <v/>
      </c>
      <c r="S42">
        <f>IF(AND($D42&lt;=DATE(2026,4,7),$E42&gt;=DATE(2026,4,1)),1,"")</f>
        <v/>
      </c>
      <c r="T42">
        <f>IF(AND($D42&lt;=DATE(2026,4,14),$E42&gt;=DATE(2026,4,8)),1,"")</f>
        <v/>
      </c>
      <c r="U42">
        <f>IF(AND($D42&lt;=DATE(2026,4,21),$E42&gt;=DATE(2026,4,15)),1,"")</f>
        <v/>
      </c>
      <c r="V42">
        <f>IF(AND($D42&lt;=DATE(2026,4,30),$E42&gt;=DATE(2026,4,22)),1,"")</f>
        <v/>
      </c>
      <c r="W42">
        <f>IF(AND($D42&lt;=DATE(2026,5,7),$E42&gt;=DATE(2026,5,1)),1,"")</f>
        <v/>
      </c>
      <c r="X42">
        <f>IF(AND($D42&lt;=DATE(2026,5,14),$E42&gt;=DATE(2026,5,8)),1,"")</f>
        <v/>
      </c>
      <c r="Y42">
        <f>IF(AND($D42&lt;=DATE(2026,5,21),$E42&gt;=DATE(2026,5,15)),1,"")</f>
        <v/>
      </c>
      <c r="Z42">
        <f>IF(AND($D42&lt;=DATE(2026,5,31),$E42&gt;=DATE(2026,5,22)),1,"")</f>
        <v/>
      </c>
      <c r="AA42">
        <f>IF(AND($D42&lt;=DATE(2026,6,7),$E42&gt;=DATE(2026,6,1)),1,"")</f>
        <v/>
      </c>
      <c r="AB42">
        <f>IF(AND($D42&lt;=DATE(2026,6,14),$E42&gt;=DATE(2026,6,8)),1,"")</f>
        <v/>
      </c>
      <c r="AC42">
        <f>IF(AND($D42&lt;=DATE(2026,6,21),$E42&gt;=DATE(2026,6,15)),1,"")</f>
        <v/>
      </c>
      <c r="AD42">
        <f>IF(AND($D42&lt;=DATE(2026,6,30),$E42&gt;=DATE(2026,6,22)),1,"")</f>
        <v/>
      </c>
      <c r="AE42">
        <f>IF(AND($D42&lt;=DATE(2026,7,7),$E42&gt;=DATE(2026,7,1)),1,"")</f>
        <v/>
      </c>
      <c r="AF42">
        <f>IF(AND($D42&lt;=DATE(2026,7,14),$E42&gt;=DATE(2026,7,8)),1,"")</f>
        <v/>
      </c>
      <c r="AG42">
        <f>IF(AND($D42&lt;=DATE(2026,7,21),$E42&gt;=DATE(2026,7,15)),1,"")</f>
        <v/>
      </c>
      <c r="AH42">
        <f>IF(AND($D42&lt;=DATE(2026,7,31),$E42&gt;=DATE(2026,7,22)),1,"")</f>
        <v/>
      </c>
      <c r="AI42">
        <f>IF(AND($D42&lt;=DATE(2026,8,7),$E42&gt;=DATE(2026,8,1)),1,"")</f>
        <v/>
      </c>
      <c r="AJ42">
        <f>IF(AND($D42&lt;=DATE(2026,8,14),$E42&gt;=DATE(2026,8,8)),1,"")</f>
        <v/>
      </c>
      <c r="AK42">
        <f>IF(AND($D42&lt;=DATE(2026,8,21),$E42&gt;=DATE(2026,8,15)),1,"")</f>
        <v/>
      </c>
      <c r="AL42">
        <f>IF(AND($D42&lt;=DATE(2026,8,31),$E42&gt;=DATE(2026,8,22)),1,"")</f>
        <v/>
      </c>
      <c r="AM42">
        <f>IF(AND($D42&lt;=DATE(2026,9,7),$E42&gt;=DATE(2026,9,1)),1,"")</f>
        <v/>
      </c>
      <c r="AN42">
        <f>IF(AND($D42&lt;=DATE(2026,9,14),$E42&gt;=DATE(2026,9,8)),1,"")</f>
        <v/>
      </c>
      <c r="AO42">
        <f>IF(AND($D42&lt;=DATE(2026,9,21),$E42&gt;=DATE(2026,9,15)),1,"")</f>
        <v/>
      </c>
      <c r="AP42">
        <f>IF(AND($D42&lt;=DATE(2026,9,30),$E42&gt;=DATE(2026,9,22)),1,"")</f>
        <v/>
      </c>
      <c r="AQ42">
        <f>IF(AND($D42&lt;=DATE(2026,10,7),$E42&gt;=DATE(2026,10,1)),1,"")</f>
        <v/>
      </c>
      <c r="AR42">
        <f>IF(AND($D42&lt;=DATE(2026,10,14),$E42&gt;=DATE(2026,10,8)),1,"")</f>
        <v/>
      </c>
      <c r="AS42">
        <f>IF(AND($D42&lt;=DATE(2026,10,21),$E42&gt;=DATE(2026,10,15)),1,"")</f>
        <v/>
      </c>
      <c r="AT42">
        <f>IF(AND($D42&lt;=DATE(2026,10,31),$E42&gt;=DATE(2026,10,22)),1,"")</f>
        <v/>
      </c>
      <c r="AU42">
        <f>IF(AND($D42&lt;=DATE(2026,11,7),$E42&gt;=DATE(2026,11,1)),1,"")</f>
        <v/>
      </c>
      <c r="AV42">
        <f>IF(AND($D42&lt;=DATE(2026,11,14),$E42&gt;=DATE(2026,11,8)),1,"")</f>
        <v/>
      </c>
      <c r="AW42">
        <f>IF(AND($D42&lt;=DATE(2026,11,21),$E42&gt;=DATE(2026,11,15)),1,"")</f>
        <v/>
      </c>
      <c r="AX42">
        <f>IF(AND($D42&lt;=DATE(2026,11,30),$E42&gt;=DATE(2026,11,22)),1,"")</f>
        <v/>
      </c>
      <c r="AY42">
        <f>IF(AND($D42&lt;=DATE(2026,12,7),$E42&gt;=DATE(2026,12,1)),1,"")</f>
        <v/>
      </c>
      <c r="AZ42">
        <f>IF(AND($D42&lt;=DATE(2026,12,14),$E42&gt;=DATE(2026,12,8)),1,"")</f>
        <v/>
      </c>
      <c r="BA42">
        <f>IF(AND($D42&lt;=DATE(2026,12,21),$E42&gt;=DATE(2026,12,15)),1,"")</f>
        <v/>
      </c>
      <c r="BB42">
        <f>IF(AND($D42&lt;=DATE(2026,12,31),$E42&gt;=DATE(2026,12,22)),1,"")</f>
        <v/>
      </c>
    </row>
    <row r="43" ht="15" customHeight="1">
      <c r="F43">
        <f>IF(OR(D43="",E43=""),"",E43-D43+1)</f>
        <v/>
      </c>
      <c r="G43">
        <f>IF(AND($D43&lt;=DATE(2026,1,7),$E43&gt;=DATE(2026,1,1)),1,"")</f>
        <v/>
      </c>
      <c r="H43">
        <f>IF(AND($D43&lt;=DATE(2026,1,14),$E43&gt;=DATE(2026,1,8)),1,"")</f>
        <v/>
      </c>
      <c r="I43">
        <f>IF(AND($D43&lt;=DATE(2026,1,21),$E43&gt;=DATE(2026,1,15)),1,"")</f>
        <v/>
      </c>
      <c r="J43">
        <f>IF(AND($D43&lt;=DATE(2026,1,31),$E43&gt;=DATE(2026,1,22)),1,"")</f>
        <v/>
      </c>
      <c r="K43">
        <f>IF(AND($D43&lt;=DATE(2026,2,7),$E43&gt;=DATE(2026,2,1)),1,"")</f>
        <v/>
      </c>
      <c r="L43">
        <f>IF(AND($D43&lt;=DATE(2026,2,14),$E43&gt;=DATE(2026,2,8)),1,"")</f>
        <v/>
      </c>
      <c r="M43">
        <f>IF(AND($D43&lt;=DATE(2026,2,21),$E43&gt;=DATE(2026,2,15)),1,"")</f>
        <v/>
      </c>
      <c r="N43">
        <f>IF(AND($D43&lt;=DATE(2026,2,28),$E43&gt;=DATE(2026,2,22)),1,"")</f>
        <v/>
      </c>
      <c r="O43">
        <f>IF(AND($D43&lt;=DATE(2026,3,7),$E43&gt;=DATE(2026,3,1)),1,"")</f>
        <v/>
      </c>
      <c r="P43">
        <f>IF(AND($D43&lt;=DATE(2026,3,14),$E43&gt;=DATE(2026,3,8)),1,"")</f>
        <v/>
      </c>
      <c r="Q43">
        <f>IF(AND($D43&lt;=DATE(2026,3,21),$E43&gt;=DATE(2026,3,15)),1,"")</f>
        <v/>
      </c>
      <c r="R43">
        <f>IF(AND($D43&lt;=DATE(2026,3,31),$E43&gt;=DATE(2026,3,22)),1,"")</f>
        <v/>
      </c>
      <c r="S43">
        <f>IF(AND($D43&lt;=DATE(2026,4,7),$E43&gt;=DATE(2026,4,1)),1,"")</f>
        <v/>
      </c>
      <c r="T43">
        <f>IF(AND($D43&lt;=DATE(2026,4,14),$E43&gt;=DATE(2026,4,8)),1,"")</f>
        <v/>
      </c>
      <c r="U43">
        <f>IF(AND($D43&lt;=DATE(2026,4,21),$E43&gt;=DATE(2026,4,15)),1,"")</f>
        <v/>
      </c>
      <c r="V43">
        <f>IF(AND($D43&lt;=DATE(2026,4,30),$E43&gt;=DATE(2026,4,22)),1,"")</f>
        <v/>
      </c>
      <c r="W43">
        <f>IF(AND($D43&lt;=DATE(2026,5,7),$E43&gt;=DATE(2026,5,1)),1,"")</f>
        <v/>
      </c>
      <c r="X43">
        <f>IF(AND($D43&lt;=DATE(2026,5,14),$E43&gt;=DATE(2026,5,8)),1,"")</f>
        <v/>
      </c>
      <c r="Y43">
        <f>IF(AND($D43&lt;=DATE(2026,5,21),$E43&gt;=DATE(2026,5,15)),1,"")</f>
        <v/>
      </c>
      <c r="Z43">
        <f>IF(AND($D43&lt;=DATE(2026,5,31),$E43&gt;=DATE(2026,5,22)),1,"")</f>
        <v/>
      </c>
      <c r="AA43">
        <f>IF(AND($D43&lt;=DATE(2026,6,7),$E43&gt;=DATE(2026,6,1)),1,"")</f>
        <v/>
      </c>
      <c r="AB43">
        <f>IF(AND($D43&lt;=DATE(2026,6,14),$E43&gt;=DATE(2026,6,8)),1,"")</f>
        <v/>
      </c>
      <c r="AC43">
        <f>IF(AND($D43&lt;=DATE(2026,6,21),$E43&gt;=DATE(2026,6,15)),1,"")</f>
        <v/>
      </c>
      <c r="AD43">
        <f>IF(AND($D43&lt;=DATE(2026,6,30),$E43&gt;=DATE(2026,6,22)),1,"")</f>
        <v/>
      </c>
      <c r="AE43">
        <f>IF(AND($D43&lt;=DATE(2026,7,7),$E43&gt;=DATE(2026,7,1)),1,"")</f>
        <v/>
      </c>
      <c r="AF43">
        <f>IF(AND($D43&lt;=DATE(2026,7,14),$E43&gt;=DATE(2026,7,8)),1,"")</f>
        <v/>
      </c>
      <c r="AG43">
        <f>IF(AND($D43&lt;=DATE(2026,7,21),$E43&gt;=DATE(2026,7,15)),1,"")</f>
        <v/>
      </c>
      <c r="AH43">
        <f>IF(AND($D43&lt;=DATE(2026,7,31),$E43&gt;=DATE(2026,7,22)),1,"")</f>
        <v/>
      </c>
      <c r="AI43">
        <f>IF(AND($D43&lt;=DATE(2026,8,7),$E43&gt;=DATE(2026,8,1)),1,"")</f>
        <v/>
      </c>
      <c r="AJ43">
        <f>IF(AND($D43&lt;=DATE(2026,8,14),$E43&gt;=DATE(2026,8,8)),1,"")</f>
        <v/>
      </c>
      <c r="AK43">
        <f>IF(AND($D43&lt;=DATE(2026,8,21),$E43&gt;=DATE(2026,8,15)),1,"")</f>
        <v/>
      </c>
      <c r="AL43">
        <f>IF(AND($D43&lt;=DATE(2026,8,31),$E43&gt;=DATE(2026,8,22)),1,"")</f>
        <v/>
      </c>
      <c r="AM43">
        <f>IF(AND($D43&lt;=DATE(2026,9,7),$E43&gt;=DATE(2026,9,1)),1,"")</f>
        <v/>
      </c>
      <c r="AN43">
        <f>IF(AND($D43&lt;=DATE(2026,9,14),$E43&gt;=DATE(2026,9,8)),1,"")</f>
        <v/>
      </c>
      <c r="AO43">
        <f>IF(AND($D43&lt;=DATE(2026,9,21),$E43&gt;=DATE(2026,9,15)),1,"")</f>
        <v/>
      </c>
      <c r="AP43">
        <f>IF(AND($D43&lt;=DATE(2026,9,30),$E43&gt;=DATE(2026,9,22)),1,"")</f>
        <v/>
      </c>
      <c r="AQ43">
        <f>IF(AND($D43&lt;=DATE(2026,10,7),$E43&gt;=DATE(2026,10,1)),1,"")</f>
        <v/>
      </c>
      <c r="AR43">
        <f>IF(AND($D43&lt;=DATE(2026,10,14),$E43&gt;=DATE(2026,10,8)),1,"")</f>
        <v/>
      </c>
      <c r="AS43">
        <f>IF(AND($D43&lt;=DATE(2026,10,21),$E43&gt;=DATE(2026,10,15)),1,"")</f>
        <v/>
      </c>
      <c r="AT43">
        <f>IF(AND($D43&lt;=DATE(2026,10,31),$E43&gt;=DATE(2026,10,22)),1,"")</f>
        <v/>
      </c>
      <c r="AU43">
        <f>IF(AND($D43&lt;=DATE(2026,11,7),$E43&gt;=DATE(2026,11,1)),1,"")</f>
        <v/>
      </c>
      <c r="AV43">
        <f>IF(AND($D43&lt;=DATE(2026,11,14),$E43&gt;=DATE(2026,11,8)),1,"")</f>
        <v/>
      </c>
      <c r="AW43">
        <f>IF(AND($D43&lt;=DATE(2026,11,21),$E43&gt;=DATE(2026,11,15)),1,"")</f>
        <v/>
      </c>
      <c r="AX43">
        <f>IF(AND($D43&lt;=DATE(2026,11,30),$E43&gt;=DATE(2026,11,22)),1,"")</f>
        <v/>
      </c>
      <c r="AY43">
        <f>IF(AND($D43&lt;=DATE(2026,12,7),$E43&gt;=DATE(2026,12,1)),1,"")</f>
        <v/>
      </c>
      <c r="AZ43">
        <f>IF(AND($D43&lt;=DATE(2026,12,14),$E43&gt;=DATE(2026,12,8)),1,"")</f>
        <v/>
      </c>
      <c r="BA43">
        <f>IF(AND($D43&lt;=DATE(2026,12,21),$E43&gt;=DATE(2026,12,15)),1,"")</f>
        <v/>
      </c>
      <c r="BB43">
        <f>IF(AND($D43&lt;=DATE(2026,12,31),$E43&gt;=DATE(2026,12,22)),1,"")</f>
        <v/>
      </c>
    </row>
    <row r="44" ht="15" customHeight="1">
      <c r="F44">
        <f>IF(OR(D44="",E44=""),"",E44-D44+1)</f>
        <v/>
      </c>
      <c r="G44">
        <f>IF(AND($D44&lt;=DATE(2026,1,7),$E44&gt;=DATE(2026,1,1)),1,"")</f>
        <v/>
      </c>
      <c r="H44">
        <f>IF(AND($D44&lt;=DATE(2026,1,14),$E44&gt;=DATE(2026,1,8)),1,"")</f>
        <v/>
      </c>
      <c r="I44">
        <f>IF(AND($D44&lt;=DATE(2026,1,21),$E44&gt;=DATE(2026,1,15)),1,"")</f>
        <v/>
      </c>
      <c r="J44">
        <f>IF(AND($D44&lt;=DATE(2026,1,31),$E44&gt;=DATE(2026,1,22)),1,"")</f>
        <v/>
      </c>
      <c r="K44">
        <f>IF(AND($D44&lt;=DATE(2026,2,7),$E44&gt;=DATE(2026,2,1)),1,"")</f>
        <v/>
      </c>
      <c r="L44">
        <f>IF(AND($D44&lt;=DATE(2026,2,14),$E44&gt;=DATE(2026,2,8)),1,"")</f>
        <v/>
      </c>
      <c r="M44">
        <f>IF(AND($D44&lt;=DATE(2026,2,21),$E44&gt;=DATE(2026,2,15)),1,"")</f>
        <v/>
      </c>
      <c r="N44">
        <f>IF(AND($D44&lt;=DATE(2026,2,28),$E44&gt;=DATE(2026,2,22)),1,"")</f>
        <v/>
      </c>
      <c r="O44">
        <f>IF(AND($D44&lt;=DATE(2026,3,7),$E44&gt;=DATE(2026,3,1)),1,"")</f>
        <v/>
      </c>
      <c r="P44">
        <f>IF(AND($D44&lt;=DATE(2026,3,14),$E44&gt;=DATE(2026,3,8)),1,"")</f>
        <v/>
      </c>
      <c r="Q44">
        <f>IF(AND($D44&lt;=DATE(2026,3,21),$E44&gt;=DATE(2026,3,15)),1,"")</f>
        <v/>
      </c>
      <c r="R44">
        <f>IF(AND($D44&lt;=DATE(2026,3,31),$E44&gt;=DATE(2026,3,22)),1,"")</f>
        <v/>
      </c>
      <c r="S44">
        <f>IF(AND($D44&lt;=DATE(2026,4,7),$E44&gt;=DATE(2026,4,1)),1,"")</f>
        <v/>
      </c>
      <c r="T44">
        <f>IF(AND($D44&lt;=DATE(2026,4,14),$E44&gt;=DATE(2026,4,8)),1,"")</f>
        <v/>
      </c>
      <c r="U44">
        <f>IF(AND($D44&lt;=DATE(2026,4,21),$E44&gt;=DATE(2026,4,15)),1,"")</f>
        <v/>
      </c>
      <c r="V44">
        <f>IF(AND($D44&lt;=DATE(2026,4,30),$E44&gt;=DATE(2026,4,22)),1,"")</f>
        <v/>
      </c>
      <c r="W44">
        <f>IF(AND($D44&lt;=DATE(2026,5,7),$E44&gt;=DATE(2026,5,1)),1,"")</f>
        <v/>
      </c>
      <c r="X44">
        <f>IF(AND($D44&lt;=DATE(2026,5,14),$E44&gt;=DATE(2026,5,8)),1,"")</f>
        <v/>
      </c>
      <c r="Y44">
        <f>IF(AND($D44&lt;=DATE(2026,5,21),$E44&gt;=DATE(2026,5,15)),1,"")</f>
        <v/>
      </c>
      <c r="Z44">
        <f>IF(AND($D44&lt;=DATE(2026,5,31),$E44&gt;=DATE(2026,5,22)),1,"")</f>
        <v/>
      </c>
      <c r="AA44">
        <f>IF(AND($D44&lt;=DATE(2026,6,7),$E44&gt;=DATE(2026,6,1)),1,"")</f>
        <v/>
      </c>
      <c r="AB44">
        <f>IF(AND($D44&lt;=DATE(2026,6,14),$E44&gt;=DATE(2026,6,8)),1,"")</f>
        <v/>
      </c>
      <c r="AC44">
        <f>IF(AND($D44&lt;=DATE(2026,6,21),$E44&gt;=DATE(2026,6,15)),1,"")</f>
        <v/>
      </c>
      <c r="AD44">
        <f>IF(AND($D44&lt;=DATE(2026,6,30),$E44&gt;=DATE(2026,6,22)),1,"")</f>
        <v/>
      </c>
      <c r="AE44">
        <f>IF(AND($D44&lt;=DATE(2026,7,7),$E44&gt;=DATE(2026,7,1)),1,"")</f>
        <v/>
      </c>
      <c r="AF44">
        <f>IF(AND($D44&lt;=DATE(2026,7,14),$E44&gt;=DATE(2026,7,8)),1,"")</f>
        <v/>
      </c>
      <c r="AG44">
        <f>IF(AND($D44&lt;=DATE(2026,7,21),$E44&gt;=DATE(2026,7,15)),1,"")</f>
        <v/>
      </c>
      <c r="AH44">
        <f>IF(AND($D44&lt;=DATE(2026,7,31),$E44&gt;=DATE(2026,7,22)),1,"")</f>
        <v/>
      </c>
      <c r="AI44">
        <f>IF(AND($D44&lt;=DATE(2026,8,7),$E44&gt;=DATE(2026,8,1)),1,"")</f>
        <v/>
      </c>
      <c r="AJ44">
        <f>IF(AND($D44&lt;=DATE(2026,8,14),$E44&gt;=DATE(2026,8,8)),1,"")</f>
        <v/>
      </c>
      <c r="AK44">
        <f>IF(AND($D44&lt;=DATE(2026,8,21),$E44&gt;=DATE(2026,8,15)),1,"")</f>
        <v/>
      </c>
      <c r="AL44">
        <f>IF(AND($D44&lt;=DATE(2026,8,31),$E44&gt;=DATE(2026,8,22)),1,"")</f>
        <v/>
      </c>
      <c r="AM44">
        <f>IF(AND($D44&lt;=DATE(2026,9,7),$E44&gt;=DATE(2026,9,1)),1,"")</f>
        <v/>
      </c>
      <c r="AN44">
        <f>IF(AND($D44&lt;=DATE(2026,9,14),$E44&gt;=DATE(2026,9,8)),1,"")</f>
        <v/>
      </c>
      <c r="AO44">
        <f>IF(AND($D44&lt;=DATE(2026,9,21),$E44&gt;=DATE(2026,9,15)),1,"")</f>
        <v/>
      </c>
      <c r="AP44">
        <f>IF(AND($D44&lt;=DATE(2026,9,30),$E44&gt;=DATE(2026,9,22)),1,"")</f>
        <v/>
      </c>
      <c r="AQ44">
        <f>IF(AND($D44&lt;=DATE(2026,10,7),$E44&gt;=DATE(2026,10,1)),1,"")</f>
        <v/>
      </c>
      <c r="AR44">
        <f>IF(AND($D44&lt;=DATE(2026,10,14),$E44&gt;=DATE(2026,10,8)),1,"")</f>
        <v/>
      </c>
      <c r="AS44">
        <f>IF(AND($D44&lt;=DATE(2026,10,21),$E44&gt;=DATE(2026,10,15)),1,"")</f>
        <v/>
      </c>
      <c r="AT44">
        <f>IF(AND($D44&lt;=DATE(2026,10,31),$E44&gt;=DATE(2026,10,22)),1,"")</f>
        <v/>
      </c>
      <c r="AU44">
        <f>IF(AND($D44&lt;=DATE(2026,11,7),$E44&gt;=DATE(2026,11,1)),1,"")</f>
        <v/>
      </c>
      <c r="AV44">
        <f>IF(AND($D44&lt;=DATE(2026,11,14),$E44&gt;=DATE(2026,11,8)),1,"")</f>
        <v/>
      </c>
      <c r="AW44">
        <f>IF(AND($D44&lt;=DATE(2026,11,21),$E44&gt;=DATE(2026,11,15)),1,"")</f>
        <v/>
      </c>
      <c r="AX44">
        <f>IF(AND($D44&lt;=DATE(2026,11,30),$E44&gt;=DATE(2026,11,22)),1,"")</f>
        <v/>
      </c>
      <c r="AY44">
        <f>IF(AND($D44&lt;=DATE(2026,12,7),$E44&gt;=DATE(2026,12,1)),1,"")</f>
        <v/>
      </c>
      <c r="AZ44">
        <f>IF(AND($D44&lt;=DATE(2026,12,14),$E44&gt;=DATE(2026,12,8)),1,"")</f>
        <v/>
      </c>
      <c r="BA44">
        <f>IF(AND($D44&lt;=DATE(2026,12,21),$E44&gt;=DATE(2026,12,15)),1,"")</f>
        <v/>
      </c>
      <c r="BB44">
        <f>IF(AND($D44&lt;=DATE(2026,12,31),$E44&gt;=DATE(2026,12,22)),1,"")</f>
        <v/>
      </c>
    </row>
    <row r="45" ht="15" customHeight="1">
      <c r="F45">
        <f>IF(OR(D45="",E45=""),"",E45-D45+1)</f>
        <v/>
      </c>
      <c r="G45">
        <f>IF(AND($D45&lt;=DATE(2026,1,7),$E45&gt;=DATE(2026,1,1)),1,"")</f>
        <v/>
      </c>
      <c r="H45">
        <f>IF(AND($D45&lt;=DATE(2026,1,14),$E45&gt;=DATE(2026,1,8)),1,"")</f>
        <v/>
      </c>
      <c r="I45">
        <f>IF(AND($D45&lt;=DATE(2026,1,21),$E45&gt;=DATE(2026,1,15)),1,"")</f>
        <v/>
      </c>
      <c r="J45">
        <f>IF(AND($D45&lt;=DATE(2026,1,31),$E45&gt;=DATE(2026,1,22)),1,"")</f>
        <v/>
      </c>
      <c r="K45">
        <f>IF(AND($D45&lt;=DATE(2026,2,7),$E45&gt;=DATE(2026,2,1)),1,"")</f>
        <v/>
      </c>
      <c r="L45">
        <f>IF(AND($D45&lt;=DATE(2026,2,14),$E45&gt;=DATE(2026,2,8)),1,"")</f>
        <v/>
      </c>
      <c r="M45">
        <f>IF(AND($D45&lt;=DATE(2026,2,21),$E45&gt;=DATE(2026,2,15)),1,"")</f>
        <v/>
      </c>
      <c r="N45">
        <f>IF(AND($D45&lt;=DATE(2026,2,28),$E45&gt;=DATE(2026,2,22)),1,"")</f>
        <v/>
      </c>
      <c r="O45">
        <f>IF(AND($D45&lt;=DATE(2026,3,7),$E45&gt;=DATE(2026,3,1)),1,"")</f>
        <v/>
      </c>
      <c r="P45">
        <f>IF(AND($D45&lt;=DATE(2026,3,14),$E45&gt;=DATE(2026,3,8)),1,"")</f>
        <v/>
      </c>
      <c r="Q45">
        <f>IF(AND($D45&lt;=DATE(2026,3,21),$E45&gt;=DATE(2026,3,15)),1,"")</f>
        <v/>
      </c>
      <c r="R45">
        <f>IF(AND($D45&lt;=DATE(2026,3,31),$E45&gt;=DATE(2026,3,22)),1,"")</f>
        <v/>
      </c>
      <c r="S45">
        <f>IF(AND($D45&lt;=DATE(2026,4,7),$E45&gt;=DATE(2026,4,1)),1,"")</f>
        <v/>
      </c>
      <c r="T45">
        <f>IF(AND($D45&lt;=DATE(2026,4,14),$E45&gt;=DATE(2026,4,8)),1,"")</f>
        <v/>
      </c>
      <c r="U45">
        <f>IF(AND($D45&lt;=DATE(2026,4,21),$E45&gt;=DATE(2026,4,15)),1,"")</f>
        <v/>
      </c>
      <c r="V45">
        <f>IF(AND($D45&lt;=DATE(2026,4,30),$E45&gt;=DATE(2026,4,22)),1,"")</f>
        <v/>
      </c>
      <c r="W45">
        <f>IF(AND($D45&lt;=DATE(2026,5,7),$E45&gt;=DATE(2026,5,1)),1,"")</f>
        <v/>
      </c>
      <c r="X45">
        <f>IF(AND($D45&lt;=DATE(2026,5,14),$E45&gt;=DATE(2026,5,8)),1,"")</f>
        <v/>
      </c>
      <c r="Y45">
        <f>IF(AND($D45&lt;=DATE(2026,5,21),$E45&gt;=DATE(2026,5,15)),1,"")</f>
        <v/>
      </c>
      <c r="Z45">
        <f>IF(AND($D45&lt;=DATE(2026,5,31),$E45&gt;=DATE(2026,5,22)),1,"")</f>
        <v/>
      </c>
      <c r="AA45">
        <f>IF(AND($D45&lt;=DATE(2026,6,7),$E45&gt;=DATE(2026,6,1)),1,"")</f>
        <v/>
      </c>
      <c r="AB45">
        <f>IF(AND($D45&lt;=DATE(2026,6,14),$E45&gt;=DATE(2026,6,8)),1,"")</f>
        <v/>
      </c>
      <c r="AC45">
        <f>IF(AND($D45&lt;=DATE(2026,6,21),$E45&gt;=DATE(2026,6,15)),1,"")</f>
        <v/>
      </c>
      <c r="AD45">
        <f>IF(AND($D45&lt;=DATE(2026,6,30),$E45&gt;=DATE(2026,6,22)),1,"")</f>
        <v/>
      </c>
      <c r="AE45">
        <f>IF(AND($D45&lt;=DATE(2026,7,7),$E45&gt;=DATE(2026,7,1)),1,"")</f>
        <v/>
      </c>
      <c r="AF45">
        <f>IF(AND($D45&lt;=DATE(2026,7,14),$E45&gt;=DATE(2026,7,8)),1,"")</f>
        <v/>
      </c>
      <c r="AG45">
        <f>IF(AND($D45&lt;=DATE(2026,7,21),$E45&gt;=DATE(2026,7,15)),1,"")</f>
        <v/>
      </c>
      <c r="AH45">
        <f>IF(AND($D45&lt;=DATE(2026,7,31),$E45&gt;=DATE(2026,7,22)),1,"")</f>
        <v/>
      </c>
      <c r="AI45">
        <f>IF(AND($D45&lt;=DATE(2026,8,7),$E45&gt;=DATE(2026,8,1)),1,"")</f>
        <v/>
      </c>
      <c r="AJ45">
        <f>IF(AND($D45&lt;=DATE(2026,8,14),$E45&gt;=DATE(2026,8,8)),1,"")</f>
        <v/>
      </c>
      <c r="AK45">
        <f>IF(AND($D45&lt;=DATE(2026,8,21),$E45&gt;=DATE(2026,8,15)),1,"")</f>
        <v/>
      </c>
      <c r="AL45">
        <f>IF(AND($D45&lt;=DATE(2026,8,31),$E45&gt;=DATE(2026,8,22)),1,"")</f>
        <v/>
      </c>
      <c r="AM45">
        <f>IF(AND($D45&lt;=DATE(2026,9,7),$E45&gt;=DATE(2026,9,1)),1,"")</f>
        <v/>
      </c>
      <c r="AN45">
        <f>IF(AND($D45&lt;=DATE(2026,9,14),$E45&gt;=DATE(2026,9,8)),1,"")</f>
        <v/>
      </c>
      <c r="AO45">
        <f>IF(AND($D45&lt;=DATE(2026,9,21),$E45&gt;=DATE(2026,9,15)),1,"")</f>
        <v/>
      </c>
      <c r="AP45">
        <f>IF(AND($D45&lt;=DATE(2026,9,30),$E45&gt;=DATE(2026,9,22)),1,"")</f>
        <v/>
      </c>
      <c r="AQ45">
        <f>IF(AND($D45&lt;=DATE(2026,10,7),$E45&gt;=DATE(2026,10,1)),1,"")</f>
        <v/>
      </c>
      <c r="AR45">
        <f>IF(AND($D45&lt;=DATE(2026,10,14),$E45&gt;=DATE(2026,10,8)),1,"")</f>
        <v/>
      </c>
      <c r="AS45">
        <f>IF(AND($D45&lt;=DATE(2026,10,21),$E45&gt;=DATE(2026,10,15)),1,"")</f>
        <v/>
      </c>
      <c r="AT45">
        <f>IF(AND($D45&lt;=DATE(2026,10,31),$E45&gt;=DATE(2026,10,22)),1,"")</f>
        <v/>
      </c>
      <c r="AU45">
        <f>IF(AND($D45&lt;=DATE(2026,11,7),$E45&gt;=DATE(2026,11,1)),1,"")</f>
        <v/>
      </c>
      <c r="AV45">
        <f>IF(AND($D45&lt;=DATE(2026,11,14),$E45&gt;=DATE(2026,11,8)),1,"")</f>
        <v/>
      </c>
      <c r="AW45">
        <f>IF(AND($D45&lt;=DATE(2026,11,21),$E45&gt;=DATE(2026,11,15)),1,"")</f>
        <v/>
      </c>
      <c r="AX45">
        <f>IF(AND($D45&lt;=DATE(2026,11,30),$E45&gt;=DATE(2026,11,22)),1,"")</f>
        <v/>
      </c>
      <c r="AY45">
        <f>IF(AND($D45&lt;=DATE(2026,12,7),$E45&gt;=DATE(2026,12,1)),1,"")</f>
        <v/>
      </c>
      <c r="AZ45">
        <f>IF(AND($D45&lt;=DATE(2026,12,14),$E45&gt;=DATE(2026,12,8)),1,"")</f>
        <v/>
      </c>
      <c r="BA45">
        <f>IF(AND($D45&lt;=DATE(2026,12,21),$E45&gt;=DATE(2026,12,15)),1,"")</f>
        <v/>
      </c>
      <c r="BB45">
        <f>IF(AND($D45&lt;=DATE(2026,12,31),$E45&gt;=DATE(2026,12,22)),1,"")</f>
        <v/>
      </c>
    </row>
    <row r="46" ht="15" customHeight="1">
      <c r="F46">
        <f>IF(OR(D46="",E46=""),"",E46-D46+1)</f>
        <v/>
      </c>
      <c r="G46">
        <f>IF(AND($D46&lt;=DATE(2026,1,7),$E46&gt;=DATE(2026,1,1)),1,"")</f>
        <v/>
      </c>
      <c r="H46">
        <f>IF(AND($D46&lt;=DATE(2026,1,14),$E46&gt;=DATE(2026,1,8)),1,"")</f>
        <v/>
      </c>
      <c r="I46">
        <f>IF(AND($D46&lt;=DATE(2026,1,21),$E46&gt;=DATE(2026,1,15)),1,"")</f>
        <v/>
      </c>
      <c r="J46">
        <f>IF(AND($D46&lt;=DATE(2026,1,31),$E46&gt;=DATE(2026,1,22)),1,"")</f>
        <v/>
      </c>
      <c r="K46">
        <f>IF(AND($D46&lt;=DATE(2026,2,7),$E46&gt;=DATE(2026,2,1)),1,"")</f>
        <v/>
      </c>
      <c r="L46">
        <f>IF(AND($D46&lt;=DATE(2026,2,14),$E46&gt;=DATE(2026,2,8)),1,"")</f>
        <v/>
      </c>
      <c r="M46">
        <f>IF(AND($D46&lt;=DATE(2026,2,21),$E46&gt;=DATE(2026,2,15)),1,"")</f>
        <v/>
      </c>
      <c r="N46">
        <f>IF(AND($D46&lt;=DATE(2026,2,28),$E46&gt;=DATE(2026,2,22)),1,"")</f>
        <v/>
      </c>
      <c r="O46">
        <f>IF(AND($D46&lt;=DATE(2026,3,7),$E46&gt;=DATE(2026,3,1)),1,"")</f>
        <v/>
      </c>
      <c r="P46">
        <f>IF(AND($D46&lt;=DATE(2026,3,14),$E46&gt;=DATE(2026,3,8)),1,"")</f>
        <v/>
      </c>
      <c r="Q46">
        <f>IF(AND($D46&lt;=DATE(2026,3,21),$E46&gt;=DATE(2026,3,15)),1,"")</f>
        <v/>
      </c>
      <c r="R46">
        <f>IF(AND($D46&lt;=DATE(2026,3,31),$E46&gt;=DATE(2026,3,22)),1,"")</f>
        <v/>
      </c>
      <c r="S46">
        <f>IF(AND($D46&lt;=DATE(2026,4,7),$E46&gt;=DATE(2026,4,1)),1,"")</f>
        <v/>
      </c>
      <c r="T46">
        <f>IF(AND($D46&lt;=DATE(2026,4,14),$E46&gt;=DATE(2026,4,8)),1,"")</f>
        <v/>
      </c>
      <c r="U46">
        <f>IF(AND($D46&lt;=DATE(2026,4,21),$E46&gt;=DATE(2026,4,15)),1,"")</f>
        <v/>
      </c>
      <c r="V46">
        <f>IF(AND($D46&lt;=DATE(2026,4,30),$E46&gt;=DATE(2026,4,22)),1,"")</f>
        <v/>
      </c>
      <c r="W46">
        <f>IF(AND($D46&lt;=DATE(2026,5,7),$E46&gt;=DATE(2026,5,1)),1,"")</f>
        <v/>
      </c>
      <c r="X46">
        <f>IF(AND($D46&lt;=DATE(2026,5,14),$E46&gt;=DATE(2026,5,8)),1,"")</f>
        <v/>
      </c>
      <c r="Y46">
        <f>IF(AND($D46&lt;=DATE(2026,5,21),$E46&gt;=DATE(2026,5,15)),1,"")</f>
        <v/>
      </c>
      <c r="Z46">
        <f>IF(AND($D46&lt;=DATE(2026,5,31),$E46&gt;=DATE(2026,5,22)),1,"")</f>
        <v/>
      </c>
      <c r="AA46">
        <f>IF(AND($D46&lt;=DATE(2026,6,7),$E46&gt;=DATE(2026,6,1)),1,"")</f>
        <v/>
      </c>
      <c r="AB46">
        <f>IF(AND($D46&lt;=DATE(2026,6,14),$E46&gt;=DATE(2026,6,8)),1,"")</f>
        <v/>
      </c>
      <c r="AC46">
        <f>IF(AND($D46&lt;=DATE(2026,6,21),$E46&gt;=DATE(2026,6,15)),1,"")</f>
        <v/>
      </c>
      <c r="AD46">
        <f>IF(AND($D46&lt;=DATE(2026,6,30),$E46&gt;=DATE(2026,6,22)),1,"")</f>
        <v/>
      </c>
      <c r="AE46">
        <f>IF(AND($D46&lt;=DATE(2026,7,7),$E46&gt;=DATE(2026,7,1)),1,"")</f>
        <v/>
      </c>
      <c r="AF46">
        <f>IF(AND($D46&lt;=DATE(2026,7,14),$E46&gt;=DATE(2026,7,8)),1,"")</f>
        <v/>
      </c>
      <c r="AG46">
        <f>IF(AND($D46&lt;=DATE(2026,7,21),$E46&gt;=DATE(2026,7,15)),1,"")</f>
        <v/>
      </c>
      <c r="AH46">
        <f>IF(AND($D46&lt;=DATE(2026,7,31),$E46&gt;=DATE(2026,7,22)),1,"")</f>
        <v/>
      </c>
      <c r="AI46">
        <f>IF(AND($D46&lt;=DATE(2026,8,7),$E46&gt;=DATE(2026,8,1)),1,"")</f>
        <v/>
      </c>
      <c r="AJ46">
        <f>IF(AND($D46&lt;=DATE(2026,8,14),$E46&gt;=DATE(2026,8,8)),1,"")</f>
        <v/>
      </c>
      <c r="AK46">
        <f>IF(AND($D46&lt;=DATE(2026,8,21),$E46&gt;=DATE(2026,8,15)),1,"")</f>
        <v/>
      </c>
      <c r="AL46">
        <f>IF(AND($D46&lt;=DATE(2026,8,31),$E46&gt;=DATE(2026,8,22)),1,"")</f>
        <v/>
      </c>
      <c r="AM46">
        <f>IF(AND($D46&lt;=DATE(2026,9,7),$E46&gt;=DATE(2026,9,1)),1,"")</f>
        <v/>
      </c>
      <c r="AN46">
        <f>IF(AND($D46&lt;=DATE(2026,9,14),$E46&gt;=DATE(2026,9,8)),1,"")</f>
        <v/>
      </c>
      <c r="AO46">
        <f>IF(AND($D46&lt;=DATE(2026,9,21),$E46&gt;=DATE(2026,9,15)),1,"")</f>
        <v/>
      </c>
      <c r="AP46">
        <f>IF(AND($D46&lt;=DATE(2026,9,30),$E46&gt;=DATE(2026,9,22)),1,"")</f>
        <v/>
      </c>
      <c r="AQ46">
        <f>IF(AND($D46&lt;=DATE(2026,10,7),$E46&gt;=DATE(2026,10,1)),1,"")</f>
        <v/>
      </c>
      <c r="AR46">
        <f>IF(AND($D46&lt;=DATE(2026,10,14),$E46&gt;=DATE(2026,10,8)),1,"")</f>
        <v/>
      </c>
      <c r="AS46">
        <f>IF(AND($D46&lt;=DATE(2026,10,21),$E46&gt;=DATE(2026,10,15)),1,"")</f>
        <v/>
      </c>
      <c r="AT46">
        <f>IF(AND($D46&lt;=DATE(2026,10,31),$E46&gt;=DATE(2026,10,22)),1,"")</f>
        <v/>
      </c>
      <c r="AU46">
        <f>IF(AND($D46&lt;=DATE(2026,11,7),$E46&gt;=DATE(2026,11,1)),1,"")</f>
        <v/>
      </c>
      <c r="AV46">
        <f>IF(AND($D46&lt;=DATE(2026,11,14),$E46&gt;=DATE(2026,11,8)),1,"")</f>
        <v/>
      </c>
      <c r="AW46">
        <f>IF(AND($D46&lt;=DATE(2026,11,21),$E46&gt;=DATE(2026,11,15)),1,"")</f>
        <v/>
      </c>
      <c r="AX46">
        <f>IF(AND($D46&lt;=DATE(2026,11,30),$E46&gt;=DATE(2026,11,22)),1,"")</f>
        <v/>
      </c>
      <c r="AY46">
        <f>IF(AND($D46&lt;=DATE(2026,12,7),$E46&gt;=DATE(2026,12,1)),1,"")</f>
        <v/>
      </c>
      <c r="AZ46">
        <f>IF(AND($D46&lt;=DATE(2026,12,14),$E46&gt;=DATE(2026,12,8)),1,"")</f>
        <v/>
      </c>
      <c r="BA46">
        <f>IF(AND($D46&lt;=DATE(2026,12,21),$E46&gt;=DATE(2026,12,15)),1,"")</f>
        <v/>
      </c>
      <c r="BB46">
        <f>IF(AND($D46&lt;=DATE(2026,12,31),$E46&gt;=DATE(2026,12,22)),1,"")</f>
        <v/>
      </c>
    </row>
    <row r="47" ht="15" customHeight="1">
      <c r="F47">
        <f>IF(OR(D47="",E47=""),"",E47-D47+1)</f>
        <v/>
      </c>
      <c r="G47">
        <f>IF(AND($D47&lt;=DATE(2026,1,7),$E47&gt;=DATE(2026,1,1)),1,"")</f>
        <v/>
      </c>
      <c r="H47">
        <f>IF(AND($D47&lt;=DATE(2026,1,14),$E47&gt;=DATE(2026,1,8)),1,"")</f>
        <v/>
      </c>
      <c r="I47">
        <f>IF(AND($D47&lt;=DATE(2026,1,21),$E47&gt;=DATE(2026,1,15)),1,"")</f>
        <v/>
      </c>
      <c r="J47">
        <f>IF(AND($D47&lt;=DATE(2026,1,31),$E47&gt;=DATE(2026,1,22)),1,"")</f>
        <v/>
      </c>
      <c r="K47">
        <f>IF(AND($D47&lt;=DATE(2026,2,7),$E47&gt;=DATE(2026,2,1)),1,"")</f>
        <v/>
      </c>
      <c r="L47">
        <f>IF(AND($D47&lt;=DATE(2026,2,14),$E47&gt;=DATE(2026,2,8)),1,"")</f>
        <v/>
      </c>
      <c r="M47">
        <f>IF(AND($D47&lt;=DATE(2026,2,21),$E47&gt;=DATE(2026,2,15)),1,"")</f>
        <v/>
      </c>
      <c r="N47">
        <f>IF(AND($D47&lt;=DATE(2026,2,28),$E47&gt;=DATE(2026,2,22)),1,"")</f>
        <v/>
      </c>
      <c r="O47">
        <f>IF(AND($D47&lt;=DATE(2026,3,7),$E47&gt;=DATE(2026,3,1)),1,"")</f>
        <v/>
      </c>
      <c r="P47">
        <f>IF(AND($D47&lt;=DATE(2026,3,14),$E47&gt;=DATE(2026,3,8)),1,"")</f>
        <v/>
      </c>
      <c r="Q47">
        <f>IF(AND($D47&lt;=DATE(2026,3,21),$E47&gt;=DATE(2026,3,15)),1,"")</f>
        <v/>
      </c>
      <c r="R47">
        <f>IF(AND($D47&lt;=DATE(2026,3,31),$E47&gt;=DATE(2026,3,22)),1,"")</f>
        <v/>
      </c>
      <c r="S47">
        <f>IF(AND($D47&lt;=DATE(2026,4,7),$E47&gt;=DATE(2026,4,1)),1,"")</f>
        <v/>
      </c>
      <c r="T47">
        <f>IF(AND($D47&lt;=DATE(2026,4,14),$E47&gt;=DATE(2026,4,8)),1,"")</f>
        <v/>
      </c>
      <c r="U47">
        <f>IF(AND($D47&lt;=DATE(2026,4,21),$E47&gt;=DATE(2026,4,15)),1,"")</f>
        <v/>
      </c>
      <c r="V47">
        <f>IF(AND($D47&lt;=DATE(2026,4,30),$E47&gt;=DATE(2026,4,22)),1,"")</f>
        <v/>
      </c>
      <c r="W47">
        <f>IF(AND($D47&lt;=DATE(2026,5,7),$E47&gt;=DATE(2026,5,1)),1,"")</f>
        <v/>
      </c>
      <c r="X47">
        <f>IF(AND($D47&lt;=DATE(2026,5,14),$E47&gt;=DATE(2026,5,8)),1,"")</f>
        <v/>
      </c>
      <c r="Y47">
        <f>IF(AND($D47&lt;=DATE(2026,5,21),$E47&gt;=DATE(2026,5,15)),1,"")</f>
        <v/>
      </c>
      <c r="Z47">
        <f>IF(AND($D47&lt;=DATE(2026,5,31),$E47&gt;=DATE(2026,5,22)),1,"")</f>
        <v/>
      </c>
      <c r="AA47">
        <f>IF(AND($D47&lt;=DATE(2026,6,7),$E47&gt;=DATE(2026,6,1)),1,"")</f>
        <v/>
      </c>
      <c r="AB47">
        <f>IF(AND($D47&lt;=DATE(2026,6,14),$E47&gt;=DATE(2026,6,8)),1,"")</f>
        <v/>
      </c>
      <c r="AC47">
        <f>IF(AND($D47&lt;=DATE(2026,6,21),$E47&gt;=DATE(2026,6,15)),1,"")</f>
        <v/>
      </c>
      <c r="AD47">
        <f>IF(AND($D47&lt;=DATE(2026,6,30),$E47&gt;=DATE(2026,6,22)),1,"")</f>
        <v/>
      </c>
      <c r="AE47">
        <f>IF(AND($D47&lt;=DATE(2026,7,7),$E47&gt;=DATE(2026,7,1)),1,"")</f>
        <v/>
      </c>
      <c r="AF47">
        <f>IF(AND($D47&lt;=DATE(2026,7,14),$E47&gt;=DATE(2026,7,8)),1,"")</f>
        <v/>
      </c>
      <c r="AG47">
        <f>IF(AND($D47&lt;=DATE(2026,7,21),$E47&gt;=DATE(2026,7,15)),1,"")</f>
        <v/>
      </c>
      <c r="AH47">
        <f>IF(AND($D47&lt;=DATE(2026,7,31),$E47&gt;=DATE(2026,7,22)),1,"")</f>
        <v/>
      </c>
      <c r="AI47">
        <f>IF(AND($D47&lt;=DATE(2026,8,7),$E47&gt;=DATE(2026,8,1)),1,"")</f>
        <v/>
      </c>
      <c r="AJ47">
        <f>IF(AND($D47&lt;=DATE(2026,8,14),$E47&gt;=DATE(2026,8,8)),1,"")</f>
        <v/>
      </c>
      <c r="AK47">
        <f>IF(AND($D47&lt;=DATE(2026,8,21),$E47&gt;=DATE(2026,8,15)),1,"")</f>
        <v/>
      </c>
      <c r="AL47">
        <f>IF(AND($D47&lt;=DATE(2026,8,31),$E47&gt;=DATE(2026,8,22)),1,"")</f>
        <v/>
      </c>
      <c r="AM47">
        <f>IF(AND($D47&lt;=DATE(2026,9,7),$E47&gt;=DATE(2026,9,1)),1,"")</f>
        <v/>
      </c>
      <c r="AN47">
        <f>IF(AND($D47&lt;=DATE(2026,9,14),$E47&gt;=DATE(2026,9,8)),1,"")</f>
        <v/>
      </c>
      <c r="AO47">
        <f>IF(AND($D47&lt;=DATE(2026,9,21),$E47&gt;=DATE(2026,9,15)),1,"")</f>
        <v/>
      </c>
      <c r="AP47">
        <f>IF(AND($D47&lt;=DATE(2026,9,30),$E47&gt;=DATE(2026,9,22)),1,"")</f>
        <v/>
      </c>
      <c r="AQ47">
        <f>IF(AND($D47&lt;=DATE(2026,10,7),$E47&gt;=DATE(2026,10,1)),1,"")</f>
        <v/>
      </c>
      <c r="AR47">
        <f>IF(AND($D47&lt;=DATE(2026,10,14),$E47&gt;=DATE(2026,10,8)),1,"")</f>
        <v/>
      </c>
      <c r="AS47">
        <f>IF(AND($D47&lt;=DATE(2026,10,21),$E47&gt;=DATE(2026,10,15)),1,"")</f>
        <v/>
      </c>
      <c r="AT47">
        <f>IF(AND($D47&lt;=DATE(2026,10,31),$E47&gt;=DATE(2026,10,22)),1,"")</f>
        <v/>
      </c>
      <c r="AU47">
        <f>IF(AND($D47&lt;=DATE(2026,11,7),$E47&gt;=DATE(2026,11,1)),1,"")</f>
        <v/>
      </c>
      <c r="AV47">
        <f>IF(AND($D47&lt;=DATE(2026,11,14),$E47&gt;=DATE(2026,11,8)),1,"")</f>
        <v/>
      </c>
      <c r="AW47">
        <f>IF(AND($D47&lt;=DATE(2026,11,21),$E47&gt;=DATE(2026,11,15)),1,"")</f>
        <v/>
      </c>
      <c r="AX47">
        <f>IF(AND($D47&lt;=DATE(2026,11,30),$E47&gt;=DATE(2026,11,22)),1,"")</f>
        <v/>
      </c>
      <c r="AY47">
        <f>IF(AND($D47&lt;=DATE(2026,12,7),$E47&gt;=DATE(2026,12,1)),1,"")</f>
        <v/>
      </c>
      <c r="AZ47">
        <f>IF(AND($D47&lt;=DATE(2026,12,14),$E47&gt;=DATE(2026,12,8)),1,"")</f>
        <v/>
      </c>
      <c r="BA47">
        <f>IF(AND($D47&lt;=DATE(2026,12,21),$E47&gt;=DATE(2026,12,15)),1,"")</f>
        <v/>
      </c>
      <c r="BB47">
        <f>IF(AND($D47&lt;=DATE(2026,12,31),$E47&gt;=DATE(2026,12,22)),1,"")</f>
        <v/>
      </c>
    </row>
    <row r="48" ht="15" customHeight="1">
      <c r="F48">
        <f>IF(OR(D48="",E48=""),"",E48-D48+1)</f>
        <v/>
      </c>
      <c r="G48">
        <f>IF(AND($D48&lt;=DATE(2026,1,7),$E48&gt;=DATE(2026,1,1)),1,"")</f>
        <v/>
      </c>
      <c r="H48">
        <f>IF(AND($D48&lt;=DATE(2026,1,14),$E48&gt;=DATE(2026,1,8)),1,"")</f>
        <v/>
      </c>
      <c r="I48">
        <f>IF(AND($D48&lt;=DATE(2026,1,21),$E48&gt;=DATE(2026,1,15)),1,"")</f>
        <v/>
      </c>
      <c r="J48">
        <f>IF(AND($D48&lt;=DATE(2026,1,31),$E48&gt;=DATE(2026,1,22)),1,"")</f>
        <v/>
      </c>
      <c r="K48">
        <f>IF(AND($D48&lt;=DATE(2026,2,7),$E48&gt;=DATE(2026,2,1)),1,"")</f>
        <v/>
      </c>
      <c r="L48">
        <f>IF(AND($D48&lt;=DATE(2026,2,14),$E48&gt;=DATE(2026,2,8)),1,"")</f>
        <v/>
      </c>
      <c r="M48">
        <f>IF(AND($D48&lt;=DATE(2026,2,21),$E48&gt;=DATE(2026,2,15)),1,"")</f>
        <v/>
      </c>
      <c r="N48">
        <f>IF(AND($D48&lt;=DATE(2026,2,28),$E48&gt;=DATE(2026,2,22)),1,"")</f>
        <v/>
      </c>
      <c r="O48">
        <f>IF(AND($D48&lt;=DATE(2026,3,7),$E48&gt;=DATE(2026,3,1)),1,"")</f>
        <v/>
      </c>
      <c r="P48">
        <f>IF(AND($D48&lt;=DATE(2026,3,14),$E48&gt;=DATE(2026,3,8)),1,"")</f>
        <v/>
      </c>
      <c r="Q48">
        <f>IF(AND($D48&lt;=DATE(2026,3,21),$E48&gt;=DATE(2026,3,15)),1,"")</f>
        <v/>
      </c>
      <c r="R48">
        <f>IF(AND($D48&lt;=DATE(2026,3,31),$E48&gt;=DATE(2026,3,22)),1,"")</f>
        <v/>
      </c>
      <c r="S48">
        <f>IF(AND($D48&lt;=DATE(2026,4,7),$E48&gt;=DATE(2026,4,1)),1,"")</f>
        <v/>
      </c>
      <c r="T48">
        <f>IF(AND($D48&lt;=DATE(2026,4,14),$E48&gt;=DATE(2026,4,8)),1,"")</f>
        <v/>
      </c>
      <c r="U48">
        <f>IF(AND($D48&lt;=DATE(2026,4,21),$E48&gt;=DATE(2026,4,15)),1,"")</f>
        <v/>
      </c>
      <c r="V48">
        <f>IF(AND($D48&lt;=DATE(2026,4,30),$E48&gt;=DATE(2026,4,22)),1,"")</f>
        <v/>
      </c>
      <c r="W48">
        <f>IF(AND($D48&lt;=DATE(2026,5,7),$E48&gt;=DATE(2026,5,1)),1,"")</f>
        <v/>
      </c>
      <c r="X48">
        <f>IF(AND($D48&lt;=DATE(2026,5,14),$E48&gt;=DATE(2026,5,8)),1,"")</f>
        <v/>
      </c>
      <c r="Y48">
        <f>IF(AND($D48&lt;=DATE(2026,5,21),$E48&gt;=DATE(2026,5,15)),1,"")</f>
        <v/>
      </c>
      <c r="Z48">
        <f>IF(AND($D48&lt;=DATE(2026,5,31),$E48&gt;=DATE(2026,5,22)),1,"")</f>
        <v/>
      </c>
      <c r="AA48">
        <f>IF(AND($D48&lt;=DATE(2026,6,7),$E48&gt;=DATE(2026,6,1)),1,"")</f>
        <v/>
      </c>
      <c r="AB48">
        <f>IF(AND($D48&lt;=DATE(2026,6,14),$E48&gt;=DATE(2026,6,8)),1,"")</f>
        <v/>
      </c>
      <c r="AC48">
        <f>IF(AND($D48&lt;=DATE(2026,6,21),$E48&gt;=DATE(2026,6,15)),1,"")</f>
        <v/>
      </c>
      <c r="AD48">
        <f>IF(AND($D48&lt;=DATE(2026,6,30),$E48&gt;=DATE(2026,6,22)),1,"")</f>
        <v/>
      </c>
      <c r="AE48">
        <f>IF(AND($D48&lt;=DATE(2026,7,7),$E48&gt;=DATE(2026,7,1)),1,"")</f>
        <v/>
      </c>
      <c r="AF48">
        <f>IF(AND($D48&lt;=DATE(2026,7,14),$E48&gt;=DATE(2026,7,8)),1,"")</f>
        <v/>
      </c>
      <c r="AG48">
        <f>IF(AND($D48&lt;=DATE(2026,7,21),$E48&gt;=DATE(2026,7,15)),1,"")</f>
        <v/>
      </c>
      <c r="AH48">
        <f>IF(AND($D48&lt;=DATE(2026,7,31),$E48&gt;=DATE(2026,7,22)),1,"")</f>
        <v/>
      </c>
      <c r="AI48">
        <f>IF(AND($D48&lt;=DATE(2026,8,7),$E48&gt;=DATE(2026,8,1)),1,"")</f>
        <v/>
      </c>
      <c r="AJ48">
        <f>IF(AND($D48&lt;=DATE(2026,8,14),$E48&gt;=DATE(2026,8,8)),1,"")</f>
        <v/>
      </c>
      <c r="AK48">
        <f>IF(AND($D48&lt;=DATE(2026,8,21),$E48&gt;=DATE(2026,8,15)),1,"")</f>
        <v/>
      </c>
      <c r="AL48">
        <f>IF(AND($D48&lt;=DATE(2026,8,31),$E48&gt;=DATE(2026,8,22)),1,"")</f>
        <v/>
      </c>
      <c r="AM48">
        <f>IF(AND($D48&lt;=DATE(2026,9,7),$E48&gt;=DATE(2026,9,1)),1,"")</f>
        <v/>
      </c>
      <c r="AN48">
        <f>IF(AND($D48&lt;=DATE(2026,9,14),$E48&gt;=DATE(2026,9,8)),1,"")</f>
        <v/>
      </c>
      <c r="AO48">
        <f>IF(AND($D48&lt;=DATE(2026,9,21),$E48&gt;=DATE(2026,9,15)),1,"")</f>
        <v/>
      </c>
      <c r="AP48">
        <f>IF(AND($D48&lt;=DATE(2026,9,30),$E48&gt;=DATE(2026,9,22)),1,"")</f>
        <v/>
      </c>
      <c r="AQ48">
        <f>IF(AND($D48&lt;=DATE(2026,10,7),$E48&gt;=DATE(2026,10,1)),1,"")</f>
        <v/>
      </c>
      <c r="AR48">
        <f>IF(AND($D48&lt;=DATE(2026,10,14),$E48&gt;=DATE(2026,10,8)),1,"")</f>
        <v/>
      </c>
      <c r="AS48">
        <f>IF(AND($D48&lt;=DATE(2026,10,21),$E48&gt;=DATE(2026,10,15)),1,"")</f>
        <v/>
      </c>
      <c r="AT48">
        <f>IF(AND($D48&lt;=DATE(2026,10,31),$E48&gt;=DATE(2026,10,22)),1,"")</f>
        <v/>
      </c>
      <c r="AU48">
        <f>IF(AND($D48&lt;=DATE(2026,11,7),$E48&gt;=DATE(2026,11,1)),1,"")</f>
        <v/>
      </c>
      <c r="AV48">
        <f>IF(AND($D48&lt;=DATE(2026,11,14),$E48&gt;=DATE(2026,11,8)),1,"")</f>
        <v/>
      </c>
      <c r="AW48">
        <f>IF(AND($D48&lt;=DATE(2026,11,21),$E48&gt;=DATE(2026,11,15)),1,"")</f>
        <v/>
      </c>
      <c r="AX48">
        <f>IF(AND($D48&lt;=DATE(2026,11,30),$E48&gt;=DATE(2026,11,22)),1,"")</f>
        <v/>
      </c>
      <c r="AY48">
        <f>IF(AND($D48&lt;=DATE(2026,12,7),$E48&gt;=DATE(2026,12,1)),1,"")</f>
        <v/>
      </c>
      <c r="AZ48">
        <f>IF(AND($D48&lt;=DATE(2026,12,14),$E48&gt;=DATE(2026,12,8)),1,"")</f>
        <v/>
      </c>
      <c r="BA48">
        <f>IF(AND($D48&lt;=DATE(2026,12,21),$E48&gt;=DATE(2026,12,15)),1,"")</f>
        <v/>
      </c>
      <c r="BB48">
        <f>IF(AND($D48&lt;=DATE(2026,12,31),$E48&gt;=DATE(2026,12,22)),1,"")</f>
        <v/>
      </c>
    </row>
    <row r="49" ht="15" customHeight="1"/>
    <row r="50" ht="15" customHeight="1">
      <c r="F50">
        <f>IF(OR(D50="",E50=""),"",E50-D50+1)</f>
        <v/>
      </c>
      <c r="G50">
        <f>IF(AND($D50&lt;=DATE(2026,1,7),$E50&gt;=DATE(2026,1,1)),1,"")</f>
        <v/>
      </c>
      <c r="H50">
        <f>IF(AND($D50&lt;=DATE(2026,1,14),$E50&gt;=DATE(2026,1,8)),1,"")</f>
        <v/>
      </c>
      <c r="I50">
        <f>IF(AND($D50&lt;=DATE(2026,1,21),$E50&gt;=DATE(2026,1,15)),1,"")</f>
        <v/>
      </c>
      <c r="J50">
        <f>IF(AND($D50&lt;=DATE(2026,1,31),$E50&gt;=DATE(2026,1,22)),1,"")</f>
        <v/>
      </c>
      <c r="K50">
        <f>IF(AND($D50&lt;=DATE(2026,2,7),$E50&gt;=DATE(2026,2,1)),1,"")</f>
        <v/>
      </c>
      <c r="L50">
        <f>IF(AND($D50&lt;=DATE(2026,2,14),$E50&gt;=DATE(2026,2,8)),1,"")</f>
        <v/>
      </c>
      <c r="M50">
        <f>IF(AND($D50&lt;=DATE(2026,2,21),$E50&gt;=DATE(2026,2,15)),1,"")</f>
        <v/>
      </c>
      <c r="N50">
        <f>IF(AND($D50&lt;=DATE(2026,2,28),$E50&gt;=DATE(2026,2,22)),1,"")</f>
        <v/>
      </c>
      <c r="O50">
        <f>IF(AND($D50&lt;=DATE(2026,3,7),$E50&gt;=DATE(2026,3,1)),1,"")</f>
        <v/>
      </c>
      <c r="P50">
        <f>IF(AND($D50&lt;=DATE(2026,3,14),$E50&gt;=DATE(2026,3,8)),1,"")</f>
        <v/>
      </c>
      <c r="Q50">
        <f>IF(AND($D50&lt;=DATE(2026,3,21),$E50&gt;=DATE(2026,3,15)),1,"")</f>
        <v/>
      </c>
      <c r="R50">
        <f>IF(AND($D50&lt;=DATE(2026,3,31),$E50&gt;=DATE(2026,3,22)),1,"")</f>
        <v/>
      </c>
      <c r="S50">
        <f>IF(AND($D50&lt;=DATE(2026,4,7),$E50&gt;=DATE(2026,4,1)),1,"")</f>
        <v/>
      </c>
      <c r="T50">
        <f>IF(AND($D50&lt;=DATE(2026,4,14),$E50&gt;=DATE(2026,4,8)),1,"")</f>
        <v/>
      </c>
      <c r="U50">
        <f>IF(AND($D50&lt;=DATE(2026,4,21),$E50&gt;=DATE(2026,4,15)),1,"")</f>
        <v/>
      </c>
      <c r="V50">
        <f>IF(AND($D50&lt;=DATE(2026,4,30),$E50&gt;=DATE(2026,4,22)),1,"")</f>
        <v/>
      </c>
      <c r="W50">
        <f>IF(AND($D50&lt;=DATE(2026,5,7),$E50&gt;=DATE(2026,5,1)),1,"")</f>
        <v/>
      </c>
      <c r="X50">
        <f>IF(AND($D50&lt;=DATE(2026,5,14),$E50&gt;=DATE(2026,5,8)),1,"")</f>
        <v/>
      </c>
      <c r="Y50">
        <f>IF(AND($D50&lt;=DATE(2026,5,21),$E50&gt;=DATE(2026,5,15)),1,"")</f>
        <v/>
      </c>
      <c r="Z50">
        <f>IF(AND($D50&lt;=DATE(2026,5,31),$E50&gt;=DATE(2026,5,22)),1,"")</f>
        <v/>
      </c>
      <c r="AA50">
        <f>IF(AND($D50&lt;=DATE(2026,6,7),$E50&gt;=DATE(2026,6,1)),1,"")</f>
        <v/>
      </c>
      <c r="AB50">
        <f>IF(AND($D50&lt;=DATE(2026,6,14),$E50&gt;=DATE(2026,6,8)),1,"")</f>
        <v/>
      </c>
      <c r="AC50">
        <f>IF(AND($D50&lt;=DATE(2026,6,21),$E50&gt;=DATE(2026,6,15)),1,"")</f>
        <v/>
      </c>
      <c r="AD50">
        <f>IF(AND($D50&lt;=DATE(2026,6,30),$E50&gt;=DATE(2026,6,22)),1,"")</f>
        <v/>
      </c>
      <c r="AE50">
        <f>IF(AND($D50&lt;=DATE(2026,7,7),$E50&gt;=DATE(2026,7,1)),1,"")</f>
        <v/>
      </c>
      <c r="AF50">
        <f>IF(AND($D50&lt;=DATE(2026,7,14),$E50&gt;=DATE(2026,7,8)),1,"")</f>
        <v/>
      </c>
      <c r="AG50">
        <f>IF(AND($D50&lt;=DATE(2026,7,21),$E50&gt;=DATE(2026,7,15)),1,"")</f>
        <v/>
      </c>
      <c r="AH50">
        <f>IF(AND($D50&lt;=DATE(2026,7,31),$E50&gt;=DATE(2026,7,22)),1,"")</f>
        <v/>
      </c>
      <c r="AI50">
        <f>IF(AND($D50&lt;=DATE(2026,8,7),$E50&gt;=DATE(2026,8,1)),1,"")</f>
        <v/>
      </c>
      <c r="AJ50">
        <f>IF(AND($D50&lt;=DATE(2026,8,14),$E50&gt;=DATE(2026,8,8)),1,"")</f>
        <v/>
      </c>
      <c r="AK50">
        <f>IF(AND($D50&lt;=DATE(2026,8,21),$E50&gt;=DATE(2026,8,15)),1,"")</f>
        <v/>
      </c>
      <c r="AL50">
        <f>IF(AND($D50&lt;=DATE(2026,8,31),$E50&gt;=DATE(2026,8,22)),1,"")</f>
        <v/>
      </c>
      <c r="AM50">
        <f>IF(AND($D50&lt;=DATE(2026,9,7),$E50&gt;=DATE(2026,9,1)),1,"")</f>
        <v/>
      </c>
      <c r="AN50">
        <f>IF(AND($D50&lt;=DATE(2026,9,14),$E50&gt;=DATE(2026,9,8)),1,"")</f>
        <v/>
      </c>
      <c r="AO50">
        <f>IF(AND($D50&lt;=DATE(2026,9,21),$E50&gt;=DATE(2026,9,15)),1,"")</f>
        <v/>
      </c>
      <c r="AP50">
        <f>IF(AND($D50&lt;=DATE(2026,9,30),$E50&gt;=DATE(2026,9,22)),1,"")</f>
        <v/>
      </c>
      <c r="AQ50">
        <f>IF(AND($D50&lt;=DATE(2026,10,7),$E50&gt;=DATE(2026,10,1)),1,"")</f>
        <v/>
      </c>
      <c r="AR50">
        <f>IF(AND($D50&lt;=DATE(2026,10,14),$E50&gt;=DATE(2026,10,8)),1,"")</f>
        <v/>
      </c>
      <c r="AS50">
        <f>IF(AND($D50&lt;=DATE(2026,10,21),$E50&gt;=DATE(2026,10,15)),1,"")</f>
        <v/>
      </c>
      <c r="AT50">
        <f>IF(AND($D50&lt;=DATE(2026,10,31),$E50&gt;=DATE(2026,10,22)),1,"")</f>
        <v/>
      </c>
      <c r="AU50">
        <f>IF(AND($D50&lt;=DATE(2026,11,7),$E50&gt;=DATE(2026,11,1)),1,"")</f>
        <v/>
      </c>
      <c r="AV50">
        <f>IF(AND($D50&lt;=DATE(2026,11,14),$E50&gt;=DATE(2026,11,8)),1,"")</f>
        <v/>
      </c>
      <c r="AW50">
        <f>IF(AND($D50&lt;=DATE(2026,11,21),$E50&gt;=DATE(2026,11,15)),1,"")</f>
        <v/>
      </c>
      <c r="AX50">
        <f>IF(AND($D50&lt;=DATE(2026,11,30),$E50&gt;=DATE(2026,11,22)),1,"")</f>
        <v/>
      </c>
      <c r="AY50">
        <f>IF(AND($D50&lt;=DATE(2026,12,7),$E50&gt;=DATE(2026,12,1)),1,"")</f>
        <v/>
      </c>
      <c r="AZ50">
        <f>IF(AND($D50&lt;=DATE(2026,12,14),$E50&gt;=DATE(2026,12,8)),1,"")</f>
        <v/>
      </c>
      <c r="BA50">
        <f>IF(AND($D50&lt;=DATE(2026,12,21),$E50&gt;=DATE(2026,12,15)),1,"")</f>
        <v/>
      </c>
      <c r="BB50">
        <f>IF(AND($D50&lt;=DATE(2026,12,31),$E50&gt;=DATE(2026,12,22)),1,"")</f>
        <v/>
      </c>
    </row>
    <row r="51" ht="15" customHeight="1">
      <c r="F51">
        <f>IF(OR(D51="",E51=""),"",E51-D51+1)</f>
        <v/>
      </c>
      <c r="G51">
        <f>IF(AND($D51&lt;=DATE(2026,1,7),$E51&gt;=DATE(2026,1,1)),1,"")</f>
        <v/>
      </c>
      <c r="H51">
        <f>IF(AND($D51&lt;=DATE(2026,1,14),$E51&gt;=DATE(2026,1,8)),1,"")</f>
        <v/>
      </c>
      <c r="I51">
        <f>IF(AND($D51&lt;=DATE(2026,1,21),$E51&gt;=DATE(2026,1,15)),1,"")</f>
        <v/>
      </c>
      <c r="J51">
        <f>IF(AND($D51&lt;=DATE(2026,1,31),$E51&gt;=DATE(2026,1,22)),1,"")</f>
        <v/>
      </c>
      <c r="K51">
        <f>IF(AND($D51&lt;=DATE(2026,2,7),$E51&gt;=DATE(2026,2,1)),1,"")</f>
        <v/>
      </c>
      <c r="L51">
        <f>IF(AND($D51&lt;=DATE(2026,2,14),$E51&gt;=DATE(2026,2,8)),1,"")</f>
        <v/>
      </c>
      <c r="M51">
        <f>IF(AND($D51&lt;=DATE(2026,2,21),$E51&gt;=DATE(2026,2,15)),1,"")</f>
        <v/>
      </c>
      <c r="N51">
        <f>IF(AND($D51&lt;=DATE(2026,2,28),$E51&gt;=DATE(2026,2,22)),1,"")</f>
        <v/>
      </c>
      <c r="O51">
        <f>IF(AND($D51&lt;=DATE(2026,3,7),$E51&gt;=DATE(2026,3,1)),1,"")</f>
        <v/>
      </c>
      <c r="P51">
        <f>IF(AND($D51&lt;=DATE(2026,3,14),$E51&gt;=DATE(2026,3,8)),1,"")</f>
        <v/>
      </c>
      <c r="Q51">
        <f>IF(AND($D51&lt;=DATE(2026,3,21),$E51&gt;=DATE(2026,3,15)),1,"")</f>
        <v/>
      </c>
      <c r="R51">
        <f>IF(AND($D51&lt;=DATE(2026,3,31),$E51&gt;=DATE(2026,3,22)),1,"")</f>
        <v/>
      </c>
      <c r="S51">
        <f>IF(AND($D51&lt;=DATE(2026,4,7),$E51&gt;=DATE(2026,4,1)),1,"")</f>
        <v/>
      </c>
      <c r="T51">
        <f>IF(AND($D51&lt;=DATE(2026,4,14),$E51&gt;=DATE(2026,4,8)),1,"")</f>
        <v/>
      </c>
      <c r="U51">
        <f>IF(AND($D51&lt;=DATE(2026,4,21),$E51&gt;=DATE(2026,4,15)),1,"")</f>
        <v/>
      </c>
      <c r="V51">
        <f>IF(AND($D51&lt;=DATE(2026,4,30),$E51&gt;=DATE(2026,4,22)),1,"")</f>
        <v/>
      </c>
      <c r="W51">
        <f>IF(AND($D51&lt;=DATE(2026,5,7),$E51&gt;=DATE(2026,5,1)),1,"")</f>
        <v/>
      </c>
      <c r="X51">
        <f>IF(AND($D51&lt;=DATE(2026,5,14),$E51&gt;=DATE(2026,5,8)),1,"")</f>
        <v/>
      </c>
      <c r="Y51">
        <f>IF(AND($D51&lt;=DATE(2026,5,21),$E51&gt;=DATE(2026,5,15)),1,"")</f>
        <v/>
      </c>
      <c r="Z51">
        <f>IF(AND($D51&lt;=DATE(2026,5,31),$E51&gt;=DATE(2026,5,22)),1,"")</f>
        <v/>
      </c>
      <c r="AA51">
        <f>IF(AND($D51&lt;=DATE(2026,6,7),$E51&gt;=DATE(2026,6,1)),1,"")</f>
        <v/>
      </c>
      <c r="AB51">
        <f>IF(AND($D51&lt;=DATE(2026,6,14),$E51&gt;=DATE(2026,6,8)),1,"")</f>
        <v/>
      </c>
      <c r="AC51">
        <f>IF(AND($D51&lt;=DATE(2026,6,21),$E51&gt;=DATE(2026,6,15)),1,"")</f>
        <v/>
      </c>
      <c r="AD51">
        <f>IF(AND($D51&lt;=DATE(2026,6,30),$E51&gt;=DATE(2026,6,22)),1,"")</f>
        <v/>
      </c>
      <c r="AE51">
        <f>IF(AND($D51&lt;=DATE(2026,7,7),$E51&gt;=DATE(2026,7,1)),1,"")</f>
        <v/>
      </c>
      <c r="AF51">
        <f>IF(AND($D51&lt;=DATE(2026,7,14),$E51&gt;=DATE(2026,7,8)),1,"")</f>
        <v/>
      </c>
      <c r="AG51">
        <f>IF(AND($D51&lt;=DATE(2026,7,21),$E51&gt;=DATE(2026,7,15)),1,"")</f>
        <v/>
      </c>
      <c r="AH51">
        <f>IF(AND($D51&lt;=DATE(2026,7,31),$E51&gt;=DATE(2026,7,22)),1,"")</f>
        <v/>
      </c>
      <c r="AI51">
        <f>IF(AND($D51&lt;=DATE(2026,8,7),$E51&gt;=DATE(2026,8,1)),1,"")</f>
        <v/>
      </c>
      <c r="AJ51">
        <f>IF(AND($D51&lt;=DATE(2026,8,14),$E51&gt;=DATE(2026,8,8)),1,"")</f>
        <v/>
      </c>
      <c r="AK51">
        <f>IF(AND($D51&lt;=DATE(2026,8,21),$E51&gt;=DATE(2026,8,15)),1,"")</f>
        <v/>
      </c>
      <c r="AL51">
        <f>IF(AND($D51&lt;=DATE(2026,8,31),$E51&gt;=DATE(2026,8,22)),1,"")</f>
        <v/>
      </c>
      <c r="AM51">
        <f>IF(AND($D51&lt;=DATE(2026,9,7),$E51&gt;=DATE(2026,9,1)),1,"")</f>
        <v/>
      </c>
      <c r="AN51">
        <f>IF(AND($D51&lt;=DATE(2026,9,14),$E51&gt;=DATE(2026,9,8)),1,"")</f>
        <v/>
      </c>
      <c r="AO51">
        <f>IF(AND($D51&lt;=DATE(2026,9,21),$E51&gt;=DATE(2026,9,15)),1,"")</f>
        <v/>
      </c>
      <c r="AP51">
        <f>IF(AND($D51&lt;=DATE(2026,9,30),$E51&gt;=DATE(2026,9,22)),1,"")</f>
        <v/>
      </c>
      <c r="AQ51">
        <f>IF(AND($D51&lt;=DATE(2026,10,7),$E51&gt;=DATE(2026,10,1)),1,"")</f>
        <v/>
      </c>
      <c r="AR51">
        <f>IF(AND($D51&lt;=DATE(2026,10,14),$E51&gt;=DATE(2026,10,8)),1,"")</f>
        <v/>
      </c>
      <c r="AS51">
        <f>IF(AND($D51&lt;=DATE(2026,10,21),$E51&gt;=DATE(2026,10,15)),1,"")</f>
        <v/>
      </c>
      <c r="AT51">
        <f>IF(AND($D51&lt;=DATE(2026,10,31),$E51&gt;=DATE(2026,10,22)),1,"")</f>
        <v/>
      </c>
      <c r="AU51">
        <f>IF(AND($D51&lt;=DATE(2026,11,7),$E51&gt;=DATE(2026,11,1)),1,"")</f>
        <v/>
      </c>
      <c r="AV51">
        <f>IF(AND($D51&lt;=DATE(2026,11,14),$E51&gt;=DATE(2026,11,8)),1,"")</f>
        <v/>
      </c>
      <c r="AW51">
        <f>IF(AND($D51&lt;=DATE(2026,11,21),$E51&gt;=DATE(2026,11,15)),1,"")</f>
        <v/>
      </c>
      <c r="AX51">
        <f>IF(AND($D51&lt;=DATE(2026,11,30),$E51&gt;=DATE(2026,11,22)),1,"")</f>
        <v/>
      </c>
      <c r="AY51">
        <f>IF(AND($D51&lt;=DATE(2026,12,7),$E51&gt;=DATE(2026,12,1)),1,"")</f>
        <v/>
      </c>
      <c r="AZ51">
        <f>IF(AND($D51&lt;=DATE(2026,12,14),$E51&gt;=DATE(2026,12,8)),1,"")</f>
        <v/>
      </c>
      <c r="BA51">
        <f>IF(AND($D51&lt;=DATE(2026,12,21),$E51&gt;=DATE(2026,12,15)),1,"")</f>
        <v/>
      </c>
      <c r="BB51">
        <f>IF(AND($D51&lt;=DATE(2026,12,31),$E51&gt;=DATE(2026,12,22)),1,"")</f>
        <v/>
      </c>
    </row>
    <row r="52" ht="15" customHeight="1">
      <c r="F52">
        <f>IF(OR(D52="",E52=""),"",E52-D52+1)</f>
        <v/>
      </c>
      <c r="G52">
        <f>IF(AND($D52&lt;=DATE(2026,1,7),$E52&gt;=DATE(2026,1,1)),1,"")</f>
        <v/>
      </c>
      <c r="H52">
        <f>IF(AND($D52&lt;=DATE(2026,1,14),$E52&gt;=DATE(2026,1,8)),1,"")</f>
        <v/>
      </c>
      <c r="I52">
        <f>IF(AND($D52&lt;=DATE(2026,1,21),$E52&gt;=DATE(2026,1,15)),1,"")</f>
        <v/>
      </c>
      <c r="J52">
        <f>IF(AND($D52&lt;=DATE(2026,1,31),$E52&gt;=DATE(2026,1,22)),1,"")</f>
        <v/>
      </c>
      <c r="K52">
        <f>IF(AND($D52&lt;=DATE(2026,2,7),$E52&gt;=DATE(2026,2,1)),1,"")</f>
        <v/>
      </c>
      <c r="L52">
        <f>IF(AND($D52&lt;=DATE(2026,2,14),$E52&gt;=DATE(2026,2,8)),1,"")</f>
        <v/>
      </c>
      <c r="M52">
        <f>IF(AND($D52&lt;=DATE(2026,2,21),$E52&gt;=DATE(2026,2,15)),1,"")</f>
        <v/>
      </c>
      <c r="N52">
        <f>IF(AND($D52&lt;=DATE(2026,2,28),$E52&gt;=DATE(2026,2,22)),1,"")</f>
        <v/>
      </c>
      <c r="O52">
        <f>IF(AND($D52&lt;=DATE(2026,3,7),$E52&gt;=DATE(2026,3,1)),1,"")</f>
        <v/>
      </c>
      <c r="P52">
        <f>IF(AND($D52&lt;=DATE(2026,3,14),$E52&gt;=DATE(2026,3,8)),1,"")</f>
        <v/>
      </c>
      <c r="Q52">
        <f>IF(AND($D52&lt;=DATE(2026,3,21),$E52&gt;=DATE(2026,3,15)),1,"")</f>
        <v/>
      </c>
      <c r="R52">
        <f>IF(AND($D52&lt;=DATE(2026,3,31),$E52&gt;=DATE(2026,3,22)),1,"")</f>
        <v/>
      </c>
      <c r="S52">
        <f>IF(AND($D52&lt;=DATE(2026,4,7),$E52&gt;=DATE(2026,4,1)),1,"")</f>
        <v/>
      </c>
      <c r="T52">
        <f>IF(AND($D52&lt;=DATE(2026,4,14),$E52&gt;=DATE(2026,4,8)),1,"")</f>
        <v/>
      </c>
      <c r="U52">
        <f>IF(AND($D52&lt;=DATE(2026,4,21),$E52&gt;=DATE(2026,4,15)),1,"")</f>
        <v/>
      </c>
      <c r="V52">
        <f>IF(AND($D52&lt;=DATE(2026,4,30),$E52&gt;=DATE(2026,4,22)),1,"")</f>
        <v/>
      </c>
      <c r="W52">
        <f>IF(AND($D52&lt;=DATE(2026,5,7),$E52&gt;=DATE(2026,5,1)),1,"")</f>
        <v/>
      </c>
      <c r="X52">
        <f>IF(AND($D52&lt;=DATE(2026,5,14),$E52&gt;=DATE(2026,5,8)),1,"")</f>
        <v/>
      </c>
      <c r="Y52">
        <f>IF(AND($D52&lt;=DATE(2026,5,21),$E52&gt;=DATE(2026,5,15)),1,"")</f>
        <v/>
      </c>
      <c r="Z52">
        <f>IF(AND($D52&lt;=DATE(2026,5,31),$E52&gt;=DATE(2026,5,22)),1,"")</f>
        <v/>
      </c>
      <c r="AA52">
        <f>IF(AND($D52&lt;=DATE(2026,6,7),$E52&gt;=DATE(2026,6,1)),1,"")</f>
        <v/>
      </c>
      <c r="AB52">
        <f>IF(AND($D52&lt;=DATE(2026,6,14),$E52&gt;=DATE(2026,6,8)),1,"")</f>
        <v/>
      </c>
      <c r="AC52">
        <f>IF(AND($D52&lt;=DATE(2026,6,21),$E52&gt;=DATE(2026,6,15)),1,"")</f>
        <v/>
      </c>
      <c r="AD52">
        <f>IF(AND($D52&lt;=DATE(2026,6,30),$E52&gt;=DATE(2026,6,22)),1,"")</f>
        <v/>
      </c>
      <c r="AE52">
        <f>IF(AND($D52&lt;=DATE(2026,7,7),$E52&gt;=DATE(2026,7,1)),1,"")</f>
        <v/>
      </c>
      <c r="AF52">
        <f>IF(AND($D52&lt;=DATE(2026,7,14),$E52&gt;=DATE(2026,7,8)),1,"")</f>
        <v/>
      </c>
      <c r="AG52">
        <f>IF(AND($D52&lt;=DATE(2026,7,21),$E52&gt;=DATE(2026,7,15)),1,"")</f>
        <v/>
      </c>
      <c r="AH52">
        <f>IF(AND($D52&lt;=DATE(2026,7,31),$E52&gt;=DATE(2026,7,22)),1,"")</f>
        <v/>
      </c>
      <c r="AI52">
        <f>IF(AND($D52&lt;=DATE(2026,8,7),$E52&gt;=DATE(2026,8,1)),1,"")</f>
        <v/>
      </c>
      <c r="AJ52">
        <f>IF(AND($D52&lt;=DATE(2026,8,14),$E52&gt;=DATE(2026,8,8)),1,"")</f>
        <v/>
      </c>
      <c r="AK52">
        <f>IF(AND($D52&lt;=DATE(2026,8,21),$E52&gt;=DATE(2026,8,15)),1,"")</f>
        <v/>
      </c>
      <c r="AL52">
        <f>IF(AND($D52&lt;=DATE(2026,8,31),$E52&gt;=DATE(2026,8,22)),1,"")</f>
        <v/>
      </c>
      <c r="AM52">
        <f>IF(AND($D52&lt;=DATE(2026,9,7),$E52&gt;=DATE(2026,9,1)),1,"")</f>
        <v/>
      </c>
      <c r="AN52">
        <f>IF(AND($D52&lt;=DATE(2026,9,14),$E52&gt;=DATE(2026,9,8)),1,"")</f>
        <v/>
      </c>
      <c r="AO52">
        <f>IF(AND($D52&lt;=DATE(2026,9,21),$E52&gt;=DATE(2026,9,15)),1,"")</f>
        <v/>
      </c>
      <c r="AP52">
        <f>IF(AND($D52&lt;=DATE(2026,9,30),$E52&gt;=DATE(2026,9,22)),1,"")</f>
        <v/>
      </c>
      <c r="AQ52">
        <f>IF(AND($D52&lt;=DATE(2026,10,7),$E52&gt;=DATE(2026,10,1)),1,"")</f>
        <v/>
      </c>
      <c r="AR52">
        <f>IF(AND($D52&lt;=DATE(2026,10,14),$E52&gt;=DATE(2026,10,8)),1,"")</f>
        <v/>
      </c>
      <c r="AS52">
        <f>IF(AND($D52&lt;=DATE(2026,10,21),$E52&gt;=DATE(2026,10,15)),1,"")</f>
        <v/>
      </c>
      <c r="AT52">
        <f>IF(AND($D52&lt;=DATE(2026,10,31),$E52&gt;=DATE(2026,10,22)),1,"")</f>
        <v/>
      </c>
      <c r="AU52">
        <f>IF(AND($D52&lt;=DATE(2026,11,7),$E52&gt;=DATE(2026,11,1)),1,"")</f>
        <v/>
      </c>
      <c r="AV52">
        <f>IF(AND($D52&lt;=DATE(2026,11,14),$E52&gt;=DATE(2026,11,8)),1,"")</f>
        <v/>
      </c>
      <c r="AW52">
        <f>IF(AND($D52&lt;=DATE(2026,11,21),$E52&gt;=DATE(2026,11,15)),1,"")</f>
        <v/>
      </c>
      <c r="AX52">
        <f>IF(AND($D52&lt;=DATE(2026,11,30),$E52&gt;=DATE(2026,11,22)),1,"")</f>
        <v/>
      </c>
      <c r="AY52">
        <f>IF(AND($D52&lt;=DATE(2026,12,7),$E52&gt;=DATE(2026,12,1)),1,"")</f>
        <v/>
      </c>
      <c r="AZ52">
        <f>IF(AND($D52&lt;=DATE(2026,12,14),$E52&gt;=DATE(2026,12,8)),1,"")</f>
        <v/>
      </c>
      <c r="BA52">
        <f>IF(AND($D52&lt;=DATE(2026,12,21),$E52&gt;=DATE(2026,12,15)),1,"")</f>
        <v/>
      </c>
      <c r="BB52">
        <f>IF(AND($D52&lt;=DATE(2026,12,31),$E52&gt;=DATE(2026,12,22)),1,"")</f>
        <v/>
      </c>
    </row>
    <row r="53" ht="15" customHeight="1">
      <c r="F53">
        <f>IF(OR(D53="",E53=""),"",E53-D53+1)</f>
        <v/>
      </c>
      <c r="G53">
        <f>IF(AND($D53&lt;=DATE(2026,1,7),$E53&gt;=DATE(2026,1,1)),1,"")</f>
        <v/>
      </c>
      <c r="H53">
        <f>IF(AND($D53&lt;=DATE(2026,1,14),$E53&gt;=DATE(2026,1,8)),1,"")</f>
        <v/>
      </c>
      <c r="I53">
        <f>IF(AND($D53&lt;=DATE(2026,1,21),$E53&gt;=DATE(2026,1,15)),1,"")</f>
        <v/>
      </c>
      <c r="J53">
        <f>IF(AND($D53&lt;=DATE(2026,1,31),$E53&gt;=DATE(2026,1,22)),1,"")</f>
        <v/>
      </c>
      <c r="K53">
        <f>IF(AND($D53&lt;=DATE(2026,2,7),$E53&gt;=DATE(2026,2,1)),1,"")</f>
        <v/>
      </c>
      <c r="L53">
        <f>IF(AND($D53&lt;=DATE(2026,2,14),$E53&gt;=DATE(2026,2,8)),1,"")</f>
        <v/>
      </c>
      <c r="M53">
        <f>IF(AND($D53&lt;=DATE(2026,2,21),$E53&gt;=DATE(2026,2,15)),1,"")</f>
        <v/>
      </c>
      <c r="N53">
        <f>IF(AND($D53&lt;=DATE(2026,2,28),$E53&gt;=DATE(2026,2,22)),1,"")</f>
        <v/>
      </c>
      <c r="O53">
        <f>IF(AND($D53&lt;=DATE(2026,3,7),$E53&gt;=DATE(2026,3,1)),1,"")</f>
        <v/>
      </c>
      <c r="P53">
        <f>IF(AND($D53&lt;=DATE(2026,3,14),$E53&gt;=DATE(2026,3,8)),1,"")</f>
        <v/>
      </c>
      <c r="Q53">
        <f>IF(AND($D53&lt;=DATE(2026,3,21),$E53&gt;=DATE(2026,3,15)),1,"")</f>
        <v/>
      </c>
      <c r="R53">
        <f>IF(AND($D53&lt;=DATE(2026,3,31),$E53&gt;=DATE(2026,3,22)),1,"")</f>
        <v/>
      </c>
      <c r="S53">
        <f>IF(AND($D53&lt;=DATE(2026,4,7),$E53&gt;=DATE(2026,4,1)),1,"")</f>
        <v/>
      </c>
      <c r="T53">
        <f>IF(AND($D53&lt;=DATE(2026,4,14),$E53&gt;=DATE(2026,4,8)),1,"")</f>
        <v/>
      </c>
      <c r="U53">
        <f>IF(AND($D53&lt;=DATE(2026,4,21),$E53&gt;=DATE(2026,4,15)),1,"")</f>
        <v/>
      </c>
      <c r="V53">
        <f>IF(AND($D53&lt;=DATE(2026,4,30),$E53&gt;=DATE(2026,4,22)),1,"")</f>
        <v/>
      </c>
      <c r="W53">
        <f>IF(AND($D53&lt;=DATE(2026,5,7),$E53&gt;=DATE(2026,5,1)),1,"")</f>
        <v/>
      </c>
      <c r="X53">
        <f>IF(AND($D53&lt;=DATE(2026,5,14),$E53&gt;=DATE(2026,5,8)),1,"")</f>
        <v/>
      </c>
      <c r="Y53">
        <f>IF(AND($D53&lt;=DATE(2026,5,21),$E53&gt;=DATE(2026,5,15)),1,"")</f>
        <v/>
      </c>
      <c r="Z53">
        <f>IF(AND($D53&lt;=DATE(2026,5,31),$E53&gt;=DATE(2026,5,22)),1,"")</f>
        <v/>
      </c>
      <c r="AA53">
        <f>IF(AND($D53&lt;=DATE(2026,6,7),$E53&gt;=DATE(2026,6,1)),1,"")</f>
        <v/>
      </c>
      <c r="AB53">
        <f>IF(AND($D53&lt;=DATE(2026,6,14),$E53&gt;=DATE(2026,6,8)),1,"")</f>
        <v/>
      </c>
      <c r="AC53">
        <f>IF(AND($D53&lt;=DATE(2026,6,21),$E53&gt;=DATE(2026,6,15)),1,"")</f>
        <v/>
      </c>
      <c r="AD53">
        <f>IF(AND($D53&lt;=DATE(2026,6,30),$E53&gt;=DATE(2026,6,22)),1,"")</f>
        <v/>
      </c>
      <c r="AE53">
        <f>IF(AND($D53&lt;=DATE(2026,7,7),$E53&gt;=DATE(2026,7,1)),1,"")</f>
        <v/>
      </c>
      <c r="AF53">
        <f>IF(AND($D53&lt;=DATE(2026,7,14),$E53&gt;=DATE(2026,7,8)),1,"")</f>
        <v/>
      </c>
      <c r="AG53">
        <f>IF(AND($D53&lt;=DATE(2026,7,21),$E53&gt;=DATE(2026,7,15)),1,"")</f>
        <v/>
      </c>
      <c r="AH53">
        <f>IF(AND($D53&lt;=DATE(2026,7,31),$E53&gt;=DATE(2026,7,22)),1,"")</f>
        <v/>
      </c>
      <c r="AI53">
        <f>IF(AND($D53&lt;=DATE(2026,8,7),$E53&gt;=DATE(2026,8,1)),1,"")</f>
        <v/>
      </c>
      <c r="AJ53">
        <f>IF(AND($D53&lt;=DATE(2026,8,14),$E53&gt;=DATE(2026,8,8)),1,"")</f>
        <v/>
      </c>
      <c r="AK53">
        <f>IF(AND($D53&lt;=DATE(2026,8,21),$E53&gt;=DATE(2026,8,15)),1,"")</f>
        <v/>
      </c>
      <c r="AL53">
        <f>IF(AND($D53&lt;=DATE(2026,8,31),$E53&gt;=DATE(2026,8,22)),1,"")</f>
        <v/>
      </c>
      <c r="AM53">
        <f>IF(AND($D53&lt;=DATE(2026,9,7),$E53&gt;=DATE(2026,9,1)),1,"")</f>
        <v/>
      </c>
      <c r="AN53">
        <f>IF(AND($D53&lt;=DATE(2026,9,14),$E53&gt;=DATE(2026,9,8)),1,"")</f>
        <v/>
      </c>
      <c r="AO53">
        <f>IF(AND($D53&lt;=DATE(2026,9,21),$E53&gt;=DATE(2026,9,15)),1,"")</f>
        <v/>
      </c>
      <c r="AP53">
        <f>IF(AND($D53&lt;=DATE(2026,9,30),$E53&gt;=DATE(2026,9,22)),1,"")</f>
        <v/>
      </c>
      <c r="AQ53">
        <f>IF(AND($D53&lt;=DATE(2026,10,7),$E53&gt;=DATE(2026,10,1)),1,"")</f>
        <v/>
      </c>
      <c r="AR53">
        <f>IF(AND($D53&lt;=DATE(2026,10,14),$E53&gt;=DATE(2026,10,8)),1,"")</f>
        <v/>
      </c>
      <c r="AS53">
        <f>IF(AND($D53&lt;=DATE(2026,10,21),$E53&gt;=DATE(2026,10,15)),1,"")</f>
        <v/>
      </c>
      <c r="AT53">
        <f>IF(AND($D53&lt;=DATE(2026,10,31),$E53&gt;=DATE(2026,10,22)),1,"")</f>
        <v/>
      </c>
      <c r="AU53">
        <f>IF(AND($D53&lt;=DATE(2026,11,7),$E53&gt;=DATE(2026,11,1)),1,"")</f>
        <v/>
      </c>
      <c r="AV53">
        <f>IF(AND($D53&lt;=DATE(2026,11,14),$E53&gt;=DATE(2026,11,8)),1,"")</f>
        <v/>
      </c>
      <c r="AW53">
        <f>IF(AND($D53&lt;=DATE(2026,11,21),$E53&gt;=DATE(2026,11,15)),1,"")</f>
        <v/>
      </c>
      <c r="AX53">
        <f>IF(AND($D53&lt;=DATE(2026,11,30),$E53&gt;=DATE(2026,11,22)),1,"")</f>
        <v/>
      </c>
      <c r="AY53">
        <f>IF(AND($D53&lt;=DATE(2026,12,7),$E53&gt;=DATE(2026,12,1)),1,"")</f>
        <v/>
      </c>
      <c r="AZ53">
        <f>IF(AND($D53&lt;=DATE(2026,12,14),$E53&gt;=DATE(2026,12,8)),1,"")</f>
        <v/>
      </c>
      <c r="BA53">
        <f>IF(AND($D53&lt;=DATE(2026,12,21),$E53&gt;=DATE(2026,12,15)),1,"")</f>
        <v/>
      </c>
      <c r="BB53">
        <f>IF(AND($D53&lt;=DATE(2026,12,31),$E53&gt;=DATE(2026,12,22)),1,"")</f>
        <v/>
      </c>
    </row>
    <row r="54" ht="15" customHeight="1">
      <c r="F54">
        <f>IF(OR(D54="",E54=""),"",E54-D54+1)</f>
        <v/>
      </c>
      <c r="G54">
        <f>IF(AND($D54&lt;=DATE(2026,1,7),$E54&gt;=DATE(2026,1,1)),1,"")</f>
        <v/>
      </c>
      <c r="H54">
        <f>IF(AND($D54&lt;=DATE(2026,1,14),$E54&gt;=DATE(2026,1,8)),1,"")</f>
        <v/>
      </c>
      <c r="I54">
        <f>IF(AND($D54&lt;=DATE(2026,1,21),$E54&gt;=DATE(2026,1,15)),1,"")</f>
        <v/>
      </c>
      <c r="J54">
        <f>IF(AND($D54&lt;=DATE(2026,1,31),$E54&gt;=DATE(2026,1,22)),1,"")</f>
        <v/>
      </c>
      <c r="K54">
        <f>IF(AND($D54&lt;=DATE(2026,2,7),$E54&gt;=DATE(2026,2,1)),1,"")</f>
        <v/>
      </c>
      <c r="L54">
        <f>IF(AND($D54&lt;=DATE(2026,2,14),$E54&gt;=DATE(2026,2,8)),1,"")</f>
        <v/>
      </c>
      <c r="M54">
        <f>IF(AND($D54&lt;=DATE(2026,2,21),$E54&gt;=DATE(2026,2,15)),1,"")</f>
        <v/>
      </c>
      <c r="N54">
        <f>IF(AND($D54&lt;=DATE(2026,2,28),$E54&gt;=DATE(2026,2,22)),1,"")</f>
        <v/>
      </c>
      <c r="O54">
        <f>IF(AND($D54&lt;=DATE(2026,3,7),$E54&gt;=DATE(2026,3,1)),1,"")</f>
        <v/>
      </c>
      <c r="P54">
        <f>IF(AND($D54&lt;=DATE(2026,3,14),$E54&gt;=DATE(2026,3,8)),1,"")</f>
        <v/>
      </c>
      <c r="Q54">
        <f>IF(AND($D54&lt;=DATE(2026,3,21),$E54&gt;=DATE(2026,3,15)),1,"")</f>
        <v/>
      </c>
      <c r="R54">
        <f>IF(AND($D54&lt;=DATE(2026,3,31),$E54&gt;=DATE(2026,3,22)),1,"")</f>
        <v/>
      </c>
      <c r="S54">
        <f>IF(AND($D54&lt;=DATE(2026,4,7),$E54&gt;=DATE(2026,4,1)),1,"")</f>
        <v/>
      </c>
      <c r="T54">
        <f>IF(AND($D54&lt;=DATE(2026,4,14),$E54&gt;=DATE(2026,4,8)),1,"")</f>
        <v/>
      </c>
      <c r="U54">
        <f>IF(AND($D54&lt;=DATE(2026,4,21),$E54&gt;=DATE(2026,4,15)),1,"")</f>
        <v/>
      </c>
      <c r="V54">
        <f>IF(AND($D54&lt;=DATE(2026,4,30),$E54&gt;=DATE(2026,4,22)),1,"")</f>
        <v/>
      </c>
      <c r="W54">
        <f>IF(AND($D54&lt;=DATE(2026,5,7),$E54&gt;=DATE(2026,5,1)),1,"")</f>
        <v/>
      </c>
      <c r="X54">
        <f>IF(AND($D54&lt;=DATE(2026,5,14),$E54&gt;=DATE(2026,5,8)),1,"")</f>
        <v/>
      </c>
      <c r="Y54">
        <f>IF(AND($D54&lt;=DATE(2026,5,21),$E54&gt;=DATE(2026,5,15)),1,"")</f>
        <v/>
      </c>
      <c r="Z54">
        <f>IF(AND($D54&lt;=DATE(2026,5,31),$E54&gt;=DATE(2026,5,22)),1,"")</f>
        <v/>
      </c>
      <c r="AA54">
        <f>IF(AND($D54&lt;=DATE(2026,6,7),$E54&gt;=DATE(2026,6,1)),1,"")</f>
        <v/>
      </c>
      <c r="AB54">
        <f>IF(AND($D54&lt;=DATE(2026,6,14),$E54&gt;=DATE(2026,6,8)),1,"")</f>
        <v/>
      </c>
      <c r="AC54">
        <f>IF(AND($D54&lt;=DATE(2026,6,21),$E54&gt;=DATE(2026,6,15)),1,"")</f>
        <v/>
      </c>
      <c r="AD54">
        <f>IF(AND($D54&lt;=DATE(2026,6,30),$E54&gt;=DATE(2026,6,22)),1,"")</f>
        <v/>
      </c>
      <c r="AE54">
        <f>IF(AND($D54&lt;=DATE(2026,7,7),$E54&gt;=DATE(2026,7,1)),1,"")</f>
        <v/>
      </c>
      <c r="AF54">
        <f>IF(AND($D54&lt;=DATE(2026,7,14),$E54&gt;=DATE(2026,7,8)),1,"")</f>
        <v/>
      </c>
      <c r="AG54">
        <f>IF(AND($D54&lt;=DATE(2026,7,21),$E54&gt;=DATE(2026,7,15)),1,"")</f>
        <v/>
      </c>
      <c r="AH54">
        <f>IF(AND($D54&lt;=DATE(2026,7,31),$E54&gt;=DATE(2026,7,22)),1,"")</f>
        <v/>
      </c>
      <c r="AI54">
        <f>IF(AND($D54&lt;=DATE(2026,8,7),$E54&gt;=DATE(2026,8,1)),1,"")</f>
        <v/>
      </c>
      <c r="AJ54">
        <f>IF(AND($D54&lt;=DATE(2026,8,14),$E54&gt;=DATE(2026,8,8)),1,"")</f>
        <v/>
      </c>
      <c r="AK54">
        <f>IF(AND($D54&lt;=DATE(2026,8,21),$E54&gt;=DATE(2026,8,15)),1,"")</f>
        <v/>
      </c>
      <c r="AL54">
        <f>IF(AND($D54&lt;=DATE(2026,8,31),$E54&gt;=DATE(2026,8,22)),1,"")</f>
        <v/>
      </c>
      <c r="AM54">
        <f>IF(AND($D54&lt;=DATE(2026,9,7),$E54&gt;=DATE(2026,9,1)),1,"")</f>
        <v/>
      </c>
      <c r="AN54">
        <f>IF(AND($D54&lt;=DATE(2026,9,14),$E54&gt;=DATE(2026,9,8)),1,"")</f>
        <v/>
      </c>
      <c r="AO54">
        <f>IF(AND($D54&lt;=DATE(2026,9,21),$E54&gt;=DATE(2026,9,15)),1,"")</f>
        <v/>
      </c>
      <c r="AP54">
        <f>IF(AND($D54&lt;=DATE(2026,9,30),$E54&gt;=DATE(2026,9,22)),1,"")</f>
        <v/>
      </c>
      <c r="AQ54">
        <f>IF(AND($D54&lt;=DATE(2026,10,7),$E54&gt;=DATE(2026,10,1)),1,"")</f>
        <v/>
      </c>
      <c r="AR54">
        <f>IF(AND($D54&lt;=DATE(2026,10,14),$E54&gt;=DATE(2026,10,8)),1,"")</f>
        <v/>
      </c>
      <c r="AS54">
        <f>IF(AND($D54&lt;=DATE(2026,10,21),$E54&gt;=DATE(2026,10,15)),1,"")</f>
        <v/>
      </c>
      <c r="AT54">
        <f>IF(AND($D54&lt;=DATE(2026,10,31),$E54&gt;=DATE(2026,10,22)),1,"")</f>
        <v/>
      </c>
      <c r="AU54">
        <f>IF(AND($D54&lt;=DATE(2026,11,7),$E54&gt;=DATE(2026,11,1)),1,"")</f>
        <v/>
      </c>
      <c r="AV54">
        <f>IF(AND($D54&lt;=DATE(2026,11,14),$E54&gt;=DATE(2026,11,8)),1,"")</f>
        <v/>
      </c>
      <c r="AW54">
        <f>IF(AND($D54&lt;=DATE(2026,11,21),$E54&gt;=DATE(2026,11,15)),1,"")</f>
        <v/>
      </c>
      <c r="AX54">
        <f>IF(AND($D54&lt;=DATE(2026,11,30),$E54&gt;=DATE(2026,11,22)),1,"")</f>
        <v/>
      </c>
      <c r="AY54">
        <f>IF(AND($D54&lt;=DATE(2026,12,7),$E54&gt;=DATE(2026,12,1)),1,"")</f>
        <v/>
      </c>
      <c r="AZ54">
        <f>IF(AND($D54&lt;=DATE(2026,12,14),$E54&gt;=DATE(2026,12,8)),1,"")</f>
        <v/>
      </c>
      <c r="BA54">
        <f>IF(AND($D54&lt;=DATE(2026,12,21),$E54&gt;=DATE(2026,12,15)),1,"")</f>
        <v/>
      </c>
      <c r="BB54">
        <f>IF(AND($D54&lt;=DATE(2026,12,31),$E54&gt;=DATE(2026,12,22)),1,"")</f>
        <v/>
      </c>
    </row>
    <row r="55" ht="15" customHeight="1">
      <c r="F55">
        <f>IF(OR(D55="",E55=""),"",E55-D55+1)</f>
        <v/>
      </c>
      <c r="G55">
        <f>IF(AND($D55&lt;=DATE(2026,1,7),$E55&gt;=DATE(2026,1,1)),1,"")</f>
        <v/>
      </c>
      <c r="H55">
        <f>IF(AND($D55&lt;=DATE(2026,1,14),$E55&gt;=DATE(2026,1,8)),1,"")</f>
        <v/>
      </c>
      <c r="I55">
        <f>IF(AND($D55&lt;=DATE(2026,1,21),$E55&gt;=DATE(2026,1,15)),1,"")</f>
        <v/>
      </c>
      <c r="J55">
        <f>IF(AND($D55&lt;=DATE(2026,1,31),$E55&gt;=DATE(2026,1,22)),1,"")</f>
        <v/>
      </c>
      <c r="K55">
        <f>IF(AND($D55&lt;=DATE(2026,2,7),$E55&gt;=DATE(2026,2,1)),1,"")</f>
        <v/>
      </c>
      <c r="L55">
        <f>IF(AND($D55&lt;=DATE(2026,2,14),$E55&gt;=DATE(2026,2,8)),1,"")</f>
        <v/>
      </c>
      <c r="M55">
        <f>IF(AND($D55&lt;=DATE(2026,2,21),$E55&gt;=DATE(2026,2,15)),1,"")</f>
        <v/>
      </c>
      <c r="N55">
        <f>IF(AND($D55&lt;=DATE(2026,2,28),$E55&gt;=DATE(2026,2,22)),1,"")</f>
        <v/>
      </c>
      <c r="O55">
        <f>IF(AND($D55&lt;=DATE(2026,3,7),$E55&gt;=DATE(2026,3,1)),1,"")</f>
        <v/>
      </c>
      <c r="P55">
        <f>IF(AND($D55&lt;=DATE(2026,3,14),$E55&gt;=DATE(2026,3,8)),1,"")</f>
        <v/>
      </c>
      <c r="Q55">
        <f>IF(AND($D55&lt;=DATE(2026,3,21),$E55&gt;=DATE(2026,3,15)),1,"")</f>
        <v/>
      </c>
      <c r="R55">
        <f>IF(AND($D55&lt;=DATE(2026,3,31),$E55&gt;=DATE(2026,3,22)),1,"")</f>
        <v/>
      </c>
      <c r="S55">
        <f>IF(AND($D55&lt;=DATE(2026,4,7),$E55&gt;=DATE(2026,4,1)),1,"")</f>
        <v/>
      </c>
      <c r="T55">
        <f>IF(AND($D55&lt;=DATE(2026,4,14),$E55&gt;=DATE(2026,4,8)),1,"")</f>
        <v/>
      </c>
      <c r="U55">
        <f>IF(AND($D55&lt;=DATE(2026,4,21),$E55&gt;=DATE(2026,4,15)),1,"")</f>
        <v/>
      </c>
      <c r="V55">
        <f>IF(AND($D55&lt;=DATE(2026,4,30),$E55&gt;=DATE(2026,4,22)),1,"")</f>
        <v/>
      </c>
      <c r="W55">
        <f>IF(AND($D55&lt;=DATE(2026,5,7),$E55&gt;=DATE(2026,5,1)),1,"")</f>
        <v/>
      </c>
      <c r="X55">
        <f>IF(AND($D55&lt;=DATE(2026,5,14),$E55&gt;=DATE(2026,5,8)),1,"")</f>
        <v/>
      </c>
      <c r="Y55">
        <f>IF(AND($D55&lt;=DATE(2026,5,21),$E55&gt;=DATE(2026,5,15)),1,"")</f>
        <v/>
      </c>
      <c r="Z55">
        <f>IF(AND($D55&lt;=DATE(2026,5,31),$E55&gt;=DATE(2026,5,22)),1,"")</f>
        <v/>
      </c>
      <c r="AA55">
        <f>IF(AND($D55&lt;=DATE(2026,6,7),$E55&gt;=DATE(2026,6,1)),1,"")</f>
        <v/>
      </c>
      <c r="AB55">
        <f>IF(AND($D55&lt;=DATE(2026,6,14),$E55&gt;=DATE(2026,6,8)),1,"")</f>
        <v/>
      </c>
      <c r="AC55">
        <f>IF(AND($D55&lt;=DATE(2026,6,21),$E55&gt;=DATE(2026,6,15)),1,"")</f>
        <v/>
      </c>
      <c r="AD55">
        <f>IF(AND($D55&lt;=DATE(2026,6,30),$E55&gt;=DATE(2026,6,22)),1,"")</f>
        <v/>
      </c>
      <c r="AE55">
        <f>IF(AND($D55&lt;=DATE(2026,7,7),$E55&gt;=DATE(2026,7,1)),1,"")</f>
        <v/>
      </c>
      <c r="AF55">
        <f>IF(AND($D55&lt;=DATE(2026,7,14),$E55&gt;=DATE(2026,7,8)),1,"")</f>
        <v/>
      </c>
      <c r="AG55">
        <f>IF(AND($D55&lt;=DATE(2026,7,21),$E55&gt;=DATE(2026,7,15)),1,"")</f>
        <v/>
      </c>
      <c r="AH55">
        <f>IF(AND($D55&lt;=DATE(2026,7,31),$E55&gt;=DATE(2026,7,22)),1,"")</f>
        <v/>
      </c>
      <c r="AI55">
        <f>IF(AND($D55&lt;=DATE(2026,8,7),$E55&gt;=DATE(2026,8,1)),1,"")</f>
        <v/>
      </c>
      <c r="AJ55">
        <f>IF(AND($D55&lt;=DATE(2026,8,14),$E55&gt;=DATE(2026,8,8)),1,"")</f>
        <v/>
      </c>
      <c r="AK55">
        <f>IF(AND($D55&lt;=DATE(2026,8,21),$E55&gt;=DATE(2026,8,15)),1,"")</f>
        <v/>
      </c>
      <c r="AL55">
        <f>IF(AND($D55&lt;=DATE(2026,8,31),$E55&gt;=DATE(2026,8,22)),1,"")</f>
        <v/>
      </c>
      <c r="AM55">
        <f>IF(AND($D55&lt;=DATE(2026,9,7),$E55&gt;=DATE(2026,9,1)),1,"")</f>
        <v/>
      </c>
      <c r="AN55">
        <f>IF(AND($D55&lt;=DATE(2026,9,14),$E55&gt;=DATE(2026,9,8)),1,"")</f>
        <v/>
      </c>
      <c r="AO55">
        <f>IF(AND($D55&lt;=DATE(2026,9,21),$E55&gt;=DATE(2026,9,15)),1,"")</f>
        <v/>
      </c>
      <c r="AP55">
        <f>IF(AND($D55&lt;=DATE(2026,9,30),$E55&gt;=DATE(2026,9,22)),1,"")</f>
        <v/>
      </c>
      <c r="AQ55">
        <f>IF(AND($D55&lt;=DATE(2026,10,7),$E55&gt;=DATE(2026,10,1)),1,"")</f>
        <v/>
      </c>
      <c r="AR55">
        <f>IF(AND($D55&lt;=DATE(2026,10,14),$E55&gt;=DATE(2026,10,8)),1,"")</f>
        <v/>
      </c>
      <c r="AS55">
        <f>IF(AND($D55&lt;=DATE(2026,10,21),$E55&gt;=DATE(2026,10,15)),1,"")</f>
        <v/>
      </c>
      <c r="AT55">
        <f>IF(AND($D55&lt;=DATE(2026,10,31),$E55&gt;=DATE(2026,10,22)),1,"")</f>
        <v/>
      </c>
      <c r="AU55">
        <f>IF(AND($D55&lt;=DATE(2026,11,7),$E55&gt;=DATE(2026,11,1)),1,"")</f>
        <v/>
      </c>
      <c r="AV55">
        <f>IF(AND($D55&lt;=DATE(2026,11,14),$E55&gt;=DATE(2026,11,8)),1,"")</f>
        <v/>
      </c>
      <c r="AW55">
        <f>IF(AND($D55&lt;=DATE(2026,11,21),$E55&gt;=DATE(2026,11,15)),1,"")</f>
        <v/>
      </c>
      <c r="AX55">
        <f>IF(AND($D55&lt;=DATE(2026,11,30),$E55&gt;=DATE(2026,11,22)),1,"")</f>
        <v/>
      </c>
      <c r="AY55">
        <f>IF(AND($D55&lt;=DATE(2026,12,7),$E55&gt;=DATE(2026,12,1)),1,"")</f>
        <v/>
      </c>
      <c r="AZ55">
        <f>IF(AND($D55&lt;=DATE(2026,12,14),$E55&gt;=DATE(2026,12,8)),1,"")</f>
        <v/>
      </c>
      <c r="BA55">
        <f>IF(AND($D55&lt;=DATE(2026,12,21),$E55&gt;=DATE(2026,12,15)),1,"")</f>
        <v/>
      </c>
      <c r="BB55">
        <f>IF(AND($D55&lt;=DATE(2026,12,31),$E55&gt;=DATE(2026,12,22)),1,"")</f>
        <v/>
      </c>
    </row>
    <row r="56" ht="15" customHeight="1">
      <c r="F56">
        <f>IF(OR(D56="",E56=""),"",E56-D56+1)</f>
        <v/>
      </c>
      <c r="G56">
        <f>IF(AND($D56&lt;=DATE(2026,1,7),$E56&gt;=DATE(2026,1,1)),1,"")</f>
        <v/>
      </c>
      <c r="H56">
        <f>IF(AND($D56&lt;=DATE(2026,1,14),$E56&gt;=DATE(2026,1,8)),1,"")</f>
        <v/>
      </c>
      <c r="I56">
        <f>IF(AND($D56&lt;=DATE(2026,1,21),$E56&gt;=DATE(2026,1,15)),1,"")</f>
        <v/>
      </c>
      <c r="J56">
        <f>IF(AND($D56&lt;=DATE(2026,1,31),$E56&gt;=DATE(2026,1,22)),1,"")</f>
        <v/>
      </c>
      <c r="K56">
        <f>IF(AND($D56&lt;=DATE(2026,2,7),$E56&gt;=DATE(2026,2,1)),1,"")</f>
        <v/>
      </c>
      <c r="L56">
        <f>IF(AND($D56&lt;=DATE(2026,2,14),$E56&gt;=DATE(2026,2,8)),1,"")</f>
        <v/>
      </c>
      <c r="M56">
        <f>IF(AND($D56&lt;=DATE(2026,2,21),$E56&gt;=DATE(2026,2,15)),1,"")</f>
        <v/>
      </c>
      <c r="N56">
        <f>IF(AND($D56&lt;=DATE(2026,2,28),$E56&gt;=DATE(2026,2,22)),1,"")</f>
        <v/>
      </c>
      <c r="O56">
        <f>IF(AND($D56&lt;=DATE(2026,3,7),$E56&gt;=DATE(2026,3,1)),1,"")</f>
        <v/>
      </c>
      <c r="P56">
        <f>IF(AND($D56&lt;=DATE(2026,3,14),$E56&gt;=DATE(2026,3,8)),1,"")</f>
        <v/>
      </c>
      <c r="Q56">
        <f>IF(AND($D56&lt;=DATE(2026,3,21),$E56&gt;=DATE(2026,3,15)),1,"")</f>
        <v/>
      </c>
      <c r="R56">
        <f>IF(AND($D56&lt;=DATE(2026,3,31),$E56&gt;=DATE(2026,3,22)),1,"")</f>
        <v/>
      </c>
      <c r="S56">
        <f>IF(AND($D56&lt;=DATE(2026,4,7),$E56&gt;=DATE(2026,4,1)),1,"")</f>
        <v/>
      </c>
      <c r="T56">
        <f>IF(AND($D56&lt;=DATE(2026,4,14),$E56&gt;=DATE(2026,4,8)),1,"")</f>
        <v/>
      </c>
      <c r="U56">
        <f>IF(AND($D56&lt;=DATE(2026,4,21),$E56&gt;=DATE(2026,4,15)),1,"")</f>
        <v/>
      </c>
      <c r="V56">
        <f>IF(AND($D56&lt;=DATE(2026,4,30),$E56&gt;=DATE(2026,4,22)),1,"")</f>
        <v/>
      </c>
      <c r="W56">
        <f>IF(AND($D56&lt;=DATE(2026,5,7),$E56&gt;=DATE(2026,5,1)),1,"")</f>
        <v/>
      </c>
      <c r="X56">
        <f>IF(AND($D56&lt;=DATE(2026,5,14),$E56&gt;=DATE(2026,5,8)),1,"")</f>
        <v/>
      </c>
      <c r="Y56">
        <f>IF(AND($D56&lt;=DATE(2026,5,21),$E56&gt;=DATE(2026,5,15)),1,"")</f>
        <v/>
      </c>
      <c r="Z56">
        <f>IF(AND($D56&lt;=DATE(2026,5,31),$E56&gt;=DATE(2026,5,22)),1,"")</f>
        <v/>
      </c>
      <c r="AA56">
        <f>IF(AND($D56&lt;=DATE(2026,6,7),$E56&gt;=DATE(2026,6,1)),1,"")</f>
        <v/>
      </c>
      <c r="AB56">
        <f>IF(AND($D56&lt;=DATE(2026,6,14),$E56&gt;=DATE(2026,6,8)),1,"")</f>
        <v/>
      </c>
      <c r="AC56">
        <f>IF(AND($D56&lt;=DATE(2026,6,21),$E56&gt;=DATE(2026,6,15)),1,"")</f>
        <v/>
      </c>
      <c r="AD56">
        <f>IF(AND($D56&lt;=DATE(2026,6,30),$E56&gt;=DATE(2026,6,22)),1,"")</f>
        <v/>
      </c>
      <c r="AE56">
        <f>IF(AND($D56&lt;=DATE(2026,7,7),$E56&gt;=DATE(2026,7,1)),1,"")</f>
        <v/>
      </c>
      <c r="AF56">
        <f>IF(AND($D56&lt;=DATE(2026,7,14),$E56&gt;=DATE(2026,7,8)),1,"")</f>
        <v/>
      </c>
      <c r="AG56">
        <f>IF(AND($D56&lt;=DATE(2026,7,21),$E56&gt;=DATE(2026,7,15)),1,"")</f>
        <v/>
      </c>
      <c r="AH56">
        <f>IF(AND($D56&lt;=DATE(2026,7,31),$E56&gt;=DATE(2026,7,22)),1,"")</f>
        <v/>
      </c>
      <c r="AI56">
        <f>IF(AND($D56&lt;=DATE(2026,8,7),$E56&gt;=DATE(2026,8,1)),1,"")</f>
        <v/>
      </c>
      <c r="AJ56">
        <f>IF(AND($D56&lt;=DATE(2026,8,14),$E56&gt;=DATE(2026,8,8)),1,"")</f>
        <v/>
      </c>
      <c r="AK56">
        <f>IF(AND($D56&lt;=DATE(2026,8,21),$E56&gt;=DATE(2026,8,15)),1,"")</f>
        <v/>
      </c>
      <c r="AL56">
        <f>IF(AND($D56&lt;=DATE(2026,8,31),$E56&gt;=DATE(2026,8,22)),1,"")</f>
        <v/>
      </c>
      <c r="AM56">
        <f>IF(AND($D56&lt;=DATE(2026,9,7),$E56&gt;=DATE(2026,9,1)),1,"")</f>
        <v/>
      </c>
      <c r="AN56">
        <f>IF(AND($D56&lt;=DATE(2026,9,14),$E56&gt;=DATE(2026,9,8)),1,"")</f>
        <v/>
      </c>
      <c r="AO56">
        <f>IF(AND($D56&lt;=DATE(2026,9,21),$E56&gt;=DATE(2026,9,15)),1,"")</f>
        <v/>
      </c>
      <c r="AP56">
        <f>IF(AND($D56&lt;=DATE(2026,9,30),$E56&gt;=DATE(2026,9,22)),1,"")</f>
        <v/>
      </c>
      <c r="AQ56">
        <f>IF(AND($D56&lt;=DATE(2026,10,7),$E56&gt;=DATE(2026,10,1)),1,"")</f>
        <v/>
      </c>
      <c r="AR56">
        <f>IF(AND($D56&lt;=DATE(2026,10,14),$E56&gt;=DATE(2026,10,8)),1,"")</f>
        <v/>
      </c>
      <c r="AS56">
        <f>IF(AND($D56&lt;=DATE(2026,10,21),$E56&gt;=DATE(2026,10,15)),1,"")</f>
        <v/>
      </c>
      <c r="AT56">
        <f>IF(AND($D56&lt;=DATE(2026,10,31),$E56&gt;=DATE(2026,10,22)),1,"")</f>
        <v/>
      </c>
      <c r="AU56">
        <f>IF(AND($D56&lt;=DATE(2026,11,7),$E56&gt;=DATE(2026,11,1)),1,"")</f>
        <v/>
      </c>
      <c r="AV56">
        <f>IF(AND($D56&lt;=DATE(2026,11,14),$E56&gt;=DATE(2026,11,8)),1,"")</f>
        <v/>
      </c>
      <c r="AW56">
        <f>IF(AND($D56&lt;=DATE(2026,11,21),$E56&gt;=DATE(2026,11,15)),1,"")</f>
        <v/>
      </c>
      <c r="AX56">
        <f>IF(AND($D56&lt;=DATE(2026,11,30),$E56&gt;=DATE(2026,11,22)),1,"")</f>
        <v/>
      </c>
      <c r="AY56">
        <f>IF(AND($D56&lt;=DATE(2026,12,7),$E56&gt;=DATE(2026,12,1)),1,"")</f>
        <v/>
      </c>
      <c r="AZ56">
        <f>IF(AND($D56&lt;=DATE(2026,12,14),$E56&gt;=DATE(2026,12,8)),1,"")</f>
        <v/>
      </c>
      <c r="BA56">
        <f>IF(AND($D56&lt;=DATE(2026,12,21),$E56&gt;=DATE(2026,12,15)),1,"")</f>
        <v/>
      </c>
      <c r="BB56">
        <f>IF(AND($D56&lt;=DATE(2026,12,31),$E56&gt;=DATE(2026,12,22)),1,"")</f>
        <v/>
      </c>
    </row>
    <row r="57" ht="15" customHeight="1"/>
    <row r="58" ht="15" customHeight="1">
      <c r="F58">
        <f>IF(OR(D58="",E58=""),"",E58-D58+1)</f>
        <v/>
      </c>
      <c r="G58">
        <f>IF(AND($D58&lt;=DATE(2026,1,7),$E58&gt;=DATE(2026,1,1)),1,"")</f>
        <v/>
      </c>
      <c r="H58">
        <f>IF(AND($D58&lt;=DATE(2026,1,14),$E58&gt;=DATE(2026,1,8)),1,"")</f>
        <v/>
      </c>
      <c r="I58">
        <f>IF(AND($D58&lt;=DATE(2026,1,21),$E58&gt;=DATE(2026,1,15)),1,"")</f>
        <v/>
      </c>
      <c r="J58">
        <f>IF(AND($D58&lt;=DATE(2026,1,31),$E58&gt;=DATE(2026,1,22)),1,"")</f>
        <v/>
      </c>
      <c r="K58">
        <f>IF(AND($D58&lt;=DATE(2026,2,7),$E58&gt;=DATE(2026,2,1)),1,"")</f>
        <v/>
      </c>
      <c r="L58">
        <f>IF(AND($D58&lt;=DATE(2026,2,14),$E58&gt;=DATE(2026,2,8)),1,"")</f>
        <v/>
      </c>
      <c r="M58">
        <f>IF(AND($D58&lt;=DATE(2026,2,21),$E58&gt;=DATE(2026,2,15)),1,"")</f>
        <v/>
      </c>
      <c r="N58">
        <f>IF(AND($D58&lt;=DATE(2026,2,28),$E58&gt;=DATE(2026,2,22)),1,"")</f>
        <v/>
      </c>
      <c r="O58">
        <f>IF(AND($D58&lt;=DATE(2026,3,7),$E58&gt;=DATE(2026,3,1)),1,"")</f>
        <v/>
      </c>
      <c r="P58">
        <f>IF(AND($D58&lt;=DATE(2026,3,14),$E58&gt;=DATE(2026,3,8)),1,"")</f>
        <v/>
      </c>
      <c r="Q58">
        <f>IF(AND($D58&lt;=DATE(2026,3,21),$E58&gt;=DATE(2026,3,15)),1,"")</f>
        <v/>
      </c>
      <c r="R58">
        <f>IF(AND($D58&lt;=DATE(2026,3,31),$E58&gt;=DATE(2026,3,22)),1,"")</f>
        <v/>
      </c>
      <c r="S58">
        <f>IF(AND($D58&lt;=DATE(2026,4,7),$E58&gt;=DATE(2026,4,1)),1,"")</f>
        <v/>
      </c>
      <c r="T58">
        <f>IF(AND($D58&lt;=DATE(2026,4,14),$E58&gt;=DATE(2026,4,8)),1,"")</f>
        <v/>
      </c>
      <c r="U58">
        <f>IF(AND($D58&lt;=DATE(2026,4,21),$E58&gt;=DATE(2026,4,15)),1,"")</f>
        <v/>
      </c>
      <c r="V58">
        <f>IF(AND($D58&lt;=DATE(2026,4,30),$E58&gt;=DATE(2026,4,22)),1,"")</f>
        <v/>
      </c>
      <c r="W58">
        <f>IF(AND($D58&lt;=DATE(2026,5,7),$E58&gt;=DATE(2026,5,1)),1,"")</f>
        <v/>
      </c>
      <c r="X58">
        <f>IF(AND($D58&lt;=DATE(2026,5,14),$E58&gt;=DATE(2026,5,8)),1,"")</f>
        <v/>
      </c>
      <c r="Y58">
        <f>IF(AND($D58&lt;=DATE(2026,5,21),$E58&gt;=DATE(2026,5,15)),1,"")</f>
        <v/>
      </c>
      <c r="Z58">
        <f>IF(AND($D58&lt;=DATE(2026,5,31),$E58&gt;=DATE(2026,5,22)),1,"")</f>
        <v/>
      </c>
      <c r="AA58">
        <f>IF(AND($D58&lt;=DATE(2026,6,7),$E58&gt;=DATE(2026,6,1)),1,"")</f>
        <v/>
      </c>
      <c r="AB58">
        <f>IF(AND($D58&lt;=DATE(2026,6,14),$E58&gt;=DATE(2026,6,8)),1,"")</f>
        <v/>
      </c>
      <c r="AC58">
        <f>IF(AND($D58&lt;=DATE(2026,6,21),$E58&gt;=DATE(2026,6,15)),1,"")</f>
        <v/>
      </c>
      <c r="AD58">
        <f>IF(AND($D58&lt;=DATE(2026,6,30),$E58&gt;=DATE(2026,6,22)),1,"")</f>
        <v/>
      </c>
      <c r="AE58">
        <f>IF(AND($D58&lt;=DATE(2026,7,7),$E58&gt;=DATE(2026,7,1)),1,"")</f>
        <v/>
      </c>
      <c r="AF58">
        <f>IF(AND($D58&lt;=DATE(2026,7,14),$E58&gt;=DATE(2026,7,8)),1,"")</f>
        <v/>
      </c>
      <c r="AG58">
        <f>IF(AND($D58&lt;=DATE(2026,7,21),$E58&gt;=DATE(2026,7,15)),1,"")</f>
        <v/>
      </c>
      <c r="AH58">
        <f>IF(AND($D58&lt;=DATE(2026,7,31),$E58&gt;=DATE(2026,7,22)),1,"")</f>
        <v/>
      </c>
      <c r="AI58">
        <f>IF(AND($D58&lt;=DATE(2026,8,7),$E58&gt;=DATE(2026,8,1)),1,"")</f>
        <v/>
      </c>
      <c r="AJ58">
        <f>IF(AND($D58&lt;=DATE(2026,8,14),$E58&gt;=DATE(2026,8,8)),1,"")</f>
        <v/>
      </c>
      <c r="AK58">
        <f>IF(AND($D58&lt;=DATE(2026,8,21),$E58&gt;=DATE(2026,8,15)),1,"")</f>
        <v/>
      </c>
      <c r="AL58">
        <f>IF(AND($D58&lt;=DATE(2026,8,31),$E58&gt;=DATE(2026,8,22)),1,"")</f>
        <v/>
      </c>
      <c r="AM58">
        <f>IF(AND($D58&lt;=DATE(2026,9,7),$E58&gt;=DATE(2026,9,1)),1,"")</f>
        <v/>
      </c>
      <c r="AN58">
        <f>IF(AND($D58&lt;=DATE(2026,9,14),$E58&gt;=DATE(2026,9,8)),1,"")</f>
        <v/>
      </c>
      <c r="AO58">
        <f>IF(AND($D58&lt;=DATE(2026,9,21),$E58&gt;=DATE(2026,9,15)),1,"")</f>
        <v/>
      </c>
      <c r="AP58">
        <f>IF(AND($D58&lt;=DATE(2026,9,30),$E58&gt;=DATE(2026,9,22)),1,"")</f>
        <v/>
      </c>
      <c r="AQ58">
        <f>IF(AND($D58&lt;=DATE(2026,10,7),$E58&gt;=DATE(2026,10,1)),1,"")</f>
        <v/>
      </c>
      <c r="AR58">
        <f>IF(AND($D58&lt;=DATE(2026,10,14),$E58&gt;=DATE(2026,10,8)),1,"")</f>
        <v/>
      </c>
      <c r="AS58">
        <f>IF(AND($D58&lt;=DATE(2026,10,21),$E58&gt;=DATE(2026,10,15)),1,"")</f>
        <v/>
      </c>
      <c r="AT58">
        <f>IF(AND($D58&lt;=DATE(2026,10,31),$E58&gt;=DATE(2026,10,22)),1,"")</f>
        <v/>
      </c>
      <c r="AU58">
        <f>IF(AND($D58&lt;=DATE(2026,11,7),$E58&gt;=DATE(2026,11,1)),1,"")</f>
        <v/>
      </c>
      <c r="AV58">
        <f>IF(AND($D58&lt;=DATE(2026,11,14),$E58&gt;=DATE(2026,11,8)),1,"")</f>
        <v/>
      </c>
      <c r="AW58">
        <f>IF(AND($D58&lt;=DATE(2026,11,21),$E58&gt;=DATE(2026,11,15)),1,"")</f>
        <v/>
      </c>
      <c r="AX58">
        <f>IF(AND($D58&lt;=DATE(2026,11,30),$E58&gt;=DATE(2026,11,22)),1,"")</f>
        <v/>
      </c>
      <c r="AY58">
        <f>IF(AND($D58&lt;=DATE(2026,12,7),$E58&gt;=DATE(2026,12,1)),1,"")</f>
        <v/>
      </c>
      <c r="AZ58">
        <f>IF(AND($D58&lt;=DATE(2026,12,14),$E58&gt;=DATE(2026,12,8)),1,"")</f>
        <v/>
      </c>
      <c r="BA58">
        <f>IF(AND($D58&lt;=DATE(2026,12,21),$E58&gt;=DATE(2026,12,15)),1,"")</f>
        <v/>
      </c>
      <c r="BB58">
        <f>IF(AND($D58&lt;=DATE(2026,12,31),$E58&gt;=DATE(2026,12,22)),1,"")</f>
        <v/>
      </c>
    </row>
    <row r="59" ht="15" customHeight="1">
      <c r="F59">
        <f>IF(OR(D59="",E59=""),"",E59-D59+1)</f>
        <v/>
      </c>
      <c r="G59">
        <f>IF(AND($D59&lt;=DATE(2026,1,7),$E59&gt;=DATE(2026,1,1)),1,"")</f>
        <v/>
      </c>
      <c r="H59">
        <f>IF(AND($D59&lt;=DATE(2026,1,14),$E59&gt;=DATE(2026,1,8)),1,"")</f>
        <v/>
      </c>
      <c r="I59">
        <f>IF(AND($D59&lt;=DATE(2026,1,21),$E59&gt;=DATE(2026,1,15)),1,"")</f>
        <v/>
      </c>
      <c r="J59">
        <f>IF(AND($D59&lt;=DATE(2026,1,31),$E59&gt;=DATE(2026,1,22)),1,"")</f>
        <v/>
      </c>
      <c r="K59">
        <f>IF(AND($D59&lt;=DATE(2026,2,7),$E59&gt;=DATE(2026,2,1)),1,"")</f>
        <v/>
      </c>
      <c r="L59">
        <f>IF(AND($D59&lt;=DATE(2026,2,14),$E59&gt;=DATE(2026,2,8)),1,"")</f>
        <v/>
      </c>
      <c r="M59">
        <f>IF(AND($D59&lt;=DATE(2026,2,21),$E59&gt;=DATE(2026,2,15)),1,"")</f>
        <v/>
      </c>
      <c r="N59">
        <f>IF(AND($D59&lt;=DATE(2026,2,28),$E59&gt;=DATE(2026,2,22)),1,"")</f>
        <v/>
      </c>
      <c r="O59">
        <f>IF(AND($D59&lt;=DATE(2026,3,7),$E59&gt;=DATE(2026,3,1)),1,"")</f>
        <v/>
      </c>
      <c r="P59">
        <f>IF(AND($D59&lt;=DATE(2026,3,14),$E59&gt;=DATE(2026,3,8)),1,"")</f>
        <v/>
      </c>
      <c r="Q59">
        <f>IF(AND($D59&lt;=DATE(2026,3,21),$E59&gt;=DATE(2026,3,15)),1,"")</f>
        <v/>
      </c>
      <c r="R59">
        <f>IF(AND($D59&lt;=DATE(2026,3,31),$E59&gt;=DATE(2026,3,22)),1,"")</f>
        <v/>
      </c>
      <c r="S59">
        <f>IF(AND($D59&lt;=DATE(2026,4,7),$E59&gt;=DATE(2026,4,1)),1,"")</f>
        <v/>
      </c>
      <c r="T59">
        <f>IF(AND($D59&lt;=DATE(2026,4,14),$E59&gt;=DATE(2026,4,8)),1,"")</f>
        <v/>
      </c>
      <c r="U59">
        <f>IF(AND($D59&lt;=DATE(2026,4,21),$E59&gt;=DATE(2026,4,15)),1,"")</f>
        <v/>
      </c>
      <c r="V59">
        <f>IF(AND($D59&lt;=DATE(2026,4,30),$E59&gt;=DATE(2026,4,22)),1,"")</f>
        <v/>
      </c>
      <c r="W59">
        <f>IF(AND($D59&lt;=DATE(2026,5,7),$E59&gt;=DATE(2026,5,1)),1,"")</f>
        <v/>
      </c>
      <c r="X59">
        <f>IF(AND($D59&lt;=DATE(2026,5,14),$E59&gt;=DATE(2026,5,8)),1,"")</f>
        <v/>
      </c>
      <c r="Y59">
        <f>IF(AND($D59&lt;=DATE(2026,5,21),$E59&gt;=DATE(2026,5,15)),1,"")</f>
        <v/>
      </c>
      <c r="Z59">
        <f>IF(AND($D59&lt;=DATE(2026,5,31),$E59&gt;=DATE(2026,5,22)),1,"")</f>
        <v/>
      </c>
      <c r="AA59">
        <f>IF(AND($D59&lt;=DATE(2026,6,7),$E59&gt;=DATE(2026,6,1)),1,"")</f>
        <v/>
      </c>
      <c r="AB59">
        <f>IF(AND($D59&lt;=DATE(2026,6,14),$E59&gt;=DATE(2026,6,8)),1,"")</f>
        <v/>
      </c>
      <c r="AC59">
        <f>IF(AND($D59&lt;=DATE(2026,6,21),$E59&gt;=DATE(2026,6,15)),1,"")</f>
        <v/>
      </c>
      <c r="AD59">
        <f>IF(AND($D59&lt;=DATE(2026,6,30),$E59&gt;=DATE(2026,6,22)),1,"")</f>
        <v/>
      </c>
      <c r="AE59">
        <f>IF(AND($D59&lt;=DATE(2026,7,7),$E59&gt;=DATE(2026,7,1)),1,"")</f>
        <v/>
      </c>
      <c r="AF59">
        <f>IF(AND($D59&lt;=DATE(2026,7,14),$E59&gt;=DATE(2026,7,8)),1,"")</f>
        <v/>
      </c>
      <c r="AG59">
        <f>IF(AND($D59&lt;=DATE(2026,7,21),$E59&gt;=DATE(2026,7,15)),1,"")</f>
        <v/>
      </c>
      <c r="AH59">
        <f>IF(AND($D59&lt;=DATE(2026,7,31),$E59&gt;=DATE(2026,7,22)),1,"")</f>
        <v/>
      </c>
      <c r="AI59">
        <f>IF(AND($D59&lt;=DATE(2026,8,7),$E59&gt;=DATE(2026,8,1)),1,"")</f>
        <v/>
      </c>
      <c r="AJ59">
        <f>IF(AND($D59&lt;=DATE(2026,8,14),$E59&gt;=DATE(2026,8,8)),1,"")</f>
        <v/>
      </c>
      <c r="AK59">
        <f>IF(AND($D59&lt;=DATE(2026,8,21),$E59&gt;=DATE(2026,8,15)),1,"")</f>
        <v/>
      </c>
      <c r="AL59">
        <f>IF(AND($D59&lt;=DATE(2026,8,31),$E59&gt;=DATE(2026,8,22)),1,"")</f>
        <v/>
      </c>
      <c r="AM59">
        <f>IF(AND($D59&lt;=DATE(2026,9,7),$E59&gt;=DATE(2026,9,1)),1,"")</f>
        <v/>
      </c>
      <c r="AN59">
        <f>IF(AND($D59&lt;=DATE(2026,9,14),$E59&gt;=DATE(2026,9,8)),1,"")</f>
        <v/>
      </c>
      <c r="AO59">
        <f>IF(AND($D59&lt;=DATE(2026,9,21),$E59&gt;=DATE(2026,9,15)),1,"")</f>
        <v/>
      </c>
      <c r="AP59">
        <f>IF(AND($D59&lt;=DATE(2026,9,30),$E59&gt;=DATE(2026,9,22)),1,"")</f>
        <v/>
      </c>
      <c r="AQ59">
        <f>IF(AND($D59&lt;=DATE(2026,10,7),$E59&gt;=DATE(2026,10,1)),1,"")</f>
        <v/>
      </c>
      <c r="AR59">
        <f>IF(AND($D59&lt;=DATE(2026,10,14),$E59&gt;=DATE(2026,10,8)),1,"")</f>
        <v/>
      </c>
      <c r="AS59">
        <f>IF(AND($D59&lt;=DATE(2026,10,21),$E59&gt;=DATE(2026,10,15)),1,"")</f>
        <v/>
      </c>
      <c r="AT59">
        <f>IF(AND($D59&lt;=DATE(2026,10,31),$E59&gt;=DATE(2026,10,22)),1,"")</f>
        <v/>
      </c>
      <c r="AU59">
        <f>IF(AND($D59&lt;=DATE(2026,11,7),$E59&gt;=DATE(2026,11,1)),1,"")</f>
        <v/>
      </c>
      <c r="AV59">
        <f>IF(AND($D59&lt;=DATE(2026,11,14),$E59&gt;=DATE(2026,11,8)),1,"")</f>
        <v/>
      </c>
      <c r="AW59">
        <f>IF(AND($D59&lt;=DATE(2026,11,21),$E59&gt;=DATE(2026,11,15)),1,"")</f>
        <v/>
      </c>
      <c r="AX59">
        <f>IF(AND($D59&lt;=DATE(2026,11,30),$E59&gt;=DATE(2026,11,22)),1,"")</f>
        <v/>
      </c>
      <c r="AY59">
        <f>IF(AND($D59&lt;=DATE(2026,12,7),$E59&gt;=DATE(2026,12,1)),1,"")</f>
        <v/>
      </c>
      <c r="AZ59">
        <f>IF(AND($D59&lt;=DATE(2026,12,14),$E59&gt;=DATE(2026,12,8)),1,"")</f>
        <v/>
      </c>
      <c r="BA59">
        <f>IF(AND($D59&lt;=DATE(2026,12,21),$E59&gt;=DATE(2026,12,15)),1,"")</f>
        <v/>
      </c>
      <c r="BB59">
        <f>IF(AND($D59&lt;=DATE(2026,12,31),$E59&gt;=DATE(2026,12,22)),1,"")</f>
        <v/>
      </c>
    </row>
    <row r="60" ht="15" customHeight="1">
      <c r="F60">
        <f>IF(OR(D60="",E60=""),"",E60-D60+1)</f>
        <v/>
      </c>
      <c r="G60">
        <f>IF(AND($D60&lt;=DATE(2026,1,7),$E60&gt;=DATE(2026,1,1)),1,"")</f>
        <v/>
      </c>
      <c r="H60">
        <f>IF(AND($D60&lt;=DATE(2026,1,14),$E60&gt;=DATE(2026,1,8)),1,"")</f>
        <v/>
      </c>
      <c r="I60">
        <f>IF(AND($D60&lt;=DATE(2026,1,21),$E60&gt;=DATE(2026,1,15)),1,"")</f>
        <v/>
      </c>
      <c r="J60">
        <f>IF(AND($D60&lt;=DATE(2026,1,31),$E60&gt;=DATE(2026,1,22)),1,"")</f>
        <v/>
      </c>
      <c r="K60">
        <f>IF(AND($D60&lt;=DATE(2026,2,7),$E60&gt;=DATE(2026,2,1)),1,"")</f>
        <v/>
      </c>
      <c r="L60">
        <f>IF(AND($D60&lt;=DATE(2026,2,14),$E60&gt;=DATE(2026,2,8)),1,"")</f>
        <v/>
      </c>
      <c r="M60">
        <f>IF(AND($D60&lt;=DATE(2026,2,21),$E60&gt;=DATE(2026,2,15)),1,"")</f>
        <v/>
      </c>
      <c r="N60">
        <f>IF(AND($D60&lt;=DATE(2026,2,28),$E60&gt;=DATE(2026,2,22)),1,"")</f>
        <v/>
      </c>
      <c r="O60">
        <f>IF(AND($D60&lt;=DATE(2026,3,7),$E60&gt;=DATE(2026,3,1)),1,"")</f>
        <v/>
      </c>
      <c r="P60">
        <f>IF(AND($D60&lt;=DATE(2026,3,14),$E60&gt;=DATE(2026,3,8)),1,"")</f>
        <v/>
      </c>
      <c r="Q60">
        <f>IF(AND($D60&lt;=DATE(2026,3,21),$E60&gt;=DATE(2026,3,15)),1,"")</f>
        <v/>
      </c>
      <c r="R60">
        <f>IF(AND($D60&lt;=DATE(2026,3,31),$E60&gt;=DATE(2026,3,22)),1,"")</f>
        <v/>
      </c>
      <c r="S60">
        <f>IF(AND($D60&lt;=DATE(2026,4,7),$E60&gt;=DATE(2026,4,1)),1,"")</f>
        <v/>
      </c>
      <c r="T60">
        <f>IF(AND($D60&lt;=DATE(2026,4,14),$E60&gt;=DATE(2026,4,8)),1,"")</f>
        <v/>
      </c>
      <c r="U60">
        <f>IF(AND($D60&lt;=DATE(2026,4,21),$E60&gt;=DATE(2026,4,15)),1,"")</f>
        <v/>
      </c>
      <c r="V60">
        <f>IF(AND($D60&lt;=DATE(2026,4,30),$E60&gt;=DATE(2026,4,22)),1,"")</f>
        <v/>
      </c>
      <c r="W60">
        <f>IF(AND($D60&lt;=DATE(2026,5,7),$E60&gt;=DATE(2026,5,1)),1,"")</f>
        <v/>
      </c>
      <c r="X60">
        <f>IF(AND($D60&lt;=DATE(2026,5,14),$E60&gt;=DATE(2026,5,8)),1,"")</f>
        <v/>
      </c>
      <c r="Y60">
        <f>IF(AND($D60&lt;=DATE(2026,5,21),$E60&gt;=DATE(2026,5,15)),1,"")</f>
        <v/>
      </c>
      <c r="Z60">
        <f>IF(AND($D60&lt;=DATE(2026,5,31),$E60&gt;=DATE(2026,5,22)),1,"")</f>
        <v/>
      </c>
      <c r="AA60">
        <f>IF(AND($D60&lt;=DATE(2026,6,7),$E60&gt;=DATE(2026,6,1)),1,"")</f>
        <v/>
      </c>
      <c r="AB60">
        <f>IF(AND($D60&lt;=DATE(2026,6,14),$E60&gt;=DATE(2026,6,8)),1,"")</f>
        <v/>
      </c>
      <c r="AC60">
        <f>IF(AND($D60&lt;=DATE(2026,6,21),$E60&gt;=DATE(2026,6,15)),1,"")</f>
        <v/>
      </c>
      <c r="AD60">
        <f>IF(AND($D60&lt;=DATE(2026,6,30),$E60&gt;=DATE(2026,6,22)),1,"")</f>
        <v/>
      </c>
      <c r="AE60">
        <f>IF(AND($D60&lt;=DATE(2026,7,7),$E60&gt;=DATE(2026,7,1)),1,"")</f>
        <v/>
      </c>
      <c r="AF60">
        <f>IF(AND($D60&lt;=DATE(2026,7,14),$E60&gt;=DATE(2026,7,8)),1,"")</f>
        <v/>
      </c>
      <c r="AG60">
        <f>IF(AND($D60&lt;=DATE(2026,7,21),$E60&gt;=DATE(2026,7,15)),1,"")</f>
        <v/>
      </c>
      <c r="AH60">
        <f>IF(AND($D60&lt;=DATE(2026,7,31),$E60&gt;=DATE(2026,7,22)),1,"")</f>
        <v/>
      </c>
      <c r="AI60">
        <f>IF(AND($D60&lt;=DATE(2026,8,7),$E60&gt;=DATE(2026,8,1)),1,"")</f>
        <v/>
      </c>
      <c r="AJ60">
        <f>IF(AND($D60&lt;=DATE(2026,8,14),$E60&gt;=DATE(2026,8,8)),1,"")</f>
        <v/>
      </c>
      <c r="AK60">
        <f>IF(AND($D60&lt;=DATE(2026,8,21),$E60&gt;=DATE(2026,8,15)),1,"")</f>
        <v/>
      </c>
      <c r="AL60">
        <f>IF(AND($D60&lt;=DATE(2026,8,31),$E60&gt;=DATE(2026,8,22)),1,"")</f>
        <v/>
      </c>
      <c r="AM60">
        <f>IF(AND($D60&lt;=DATE(2026,9,7),$E60&gt;=DATE(2026,9,1)),1,"")</f>
        <v/>
      </c>
      <c r="AN60">
        <f>IF(AND($D60&lt;=DATE(2026,9,14),$E60&gt;=DATE(2026,9,8)),1,"")</f>
        <v/>
      </c>
      <c r="AO60">
        <f>IF(AND($D60&lt;=DATE(2026,9,21),$E60&gt;=DATE(2026,9,15)),1,"")</f>
        <v/>
      </c>
      <c r="AP60">
        <f>IF(AND($D60&lt;=DATE(2026,9,30),$E60&gt;=DATE(2026,9,22)),1,"")</f>
        <v/>
      </c>
      <c r="AQ60">
        <f>IF(AND($D60&lt;=DATE(2026,10,7),$E60&gt;=DATE(2026,10,1)),1,"")</f>
        <v/>
      </c>
      <c r="AR60">
        <f>IF(AND($D60&lt;=DATE(2026,10,14),$E60&gt;=DATE(2026,10,8)),1,"")</f>
        <v/>
      </c>
      <c r="AS60">
        <f>IF(AND($D60&lt;=DATE(2026,10,21),$E60&gt;=DATE(2026,10,15)),1,"")</f>
        <v/>
      </c>
      <c r="AT60">
        <f>IF(AND($D60&lt;=DATE(2026,10,31),$E60&gt;=DATE(2026,10,22)),1,"")</f>
        <v/>
      </c>
      <c r="AU60">
        <f>IF(AND($D60&lt;=DATE(2026,11,7),$E60&gt;=DATE(2026,11,1)),1,"")</f>
        <v/>
      </c>
      <c r="AV60">
        <f>IF(AND($D60&lt;=DATE(2026,11,14),$E60&gt;=DATE(2026,11,8)),1,"")</f>
        <v/>
      </c>
      <c r="AW60">
        <f>IF(AND($D60&lt;=DATE(2026,11,21),$E60&gt;=DATE(2026,11,15)),1,"")</f>
        <v/>
      </c>
      <c r="AX60">
        <f>IF(AND($D60&lt;=DATE(2026,11,30),$E60&gt;=DATE(2026,11,22)),1,"")</f>
        <v/>
      </c>
      <c r="AY60">
        <f>IF(AND($D60&lt;=DATE(2026,12,7),$E60&gt;=DATE(2026,12,1)),1,"")</f>
        <v/>
      </c>
      <c r="AZ60">
        <f>IF(AND($D60&lt;=DATE(2026,12,14),$E60&gt;=DATE(2026,12,8)),1,"")</f>
        <v/>
      </c>
      <c r="BA60">
        <f>IF(AND($D60&lt;=DATE(2026,12,21),$E60&gt;=DATE(2026,12,15)),1,"")</f>
        <v/>
      </c>
      <c r="BB60">
        <f>IF(AND($D60&lt;=DATE(2026,12,31),$E60&gt;=DATE(2026,12,22)),1,"")</f>
        <v/>
      </c>
    </row>
    <row r="61" ht="15" customHeight="1">
      <c r="F61">
        <f>IF(OR(D61="",E61=""),"",E61-D61+1)</f>
        <v/>
      </c>
      <c r="G61">
        <f>IF(AND($D61&lt;=DATE(2026,1,7),$E61&gt;=DATE(2026,1,1)),1,"")</f>
        <v/>
      </c>
      <c r="H61">
        <f>IF(AND($D61&lt;=DATE(2026,1,14),$E61&gt;=DATE(2026,1,8)),1,"")</f>
        <v/>
      </c>
      <c r="I61">
        <f>IF(AND($D61&lt;=DATE(2026,1,21),$E61&gt;=DATE(2026,1,15)),1,"")</f>
        <v/>
      </c>
      <c r="J61">
        <f>IF(AND($D61&lt;=DATE(2026,1,31),$E61&gt;=DATE(2026,1,22)),1,"")</f>
        <v/>
      </c>
      <c r="K61">
        <f>IF(AND($D61&lt;=DATE(2026,2,7),$E61&gt;=DATE(2026,2,1)),1,"")</f>
        <v/>
      </c>
      <c r="L61">
        <f>IF(AND($D61&lt;=DATE(2026,2,14),$E61&gt;=DATE(2026,2,8)),1,"")</f>
        <v/>
      </c>
      <c r="M61">
        <f>IF(AND($D61&lt;=DATE(2026,2,21),$E61&gt;=DATE(2026,2,15)),1,"")</f>
        <v/>
      </c>
      <c r="N61">
        <f>IF(AND($D61&lt;=DATE(2026,2,28),$E61&gt;=DATE(2026,2,22)),1,"")</f>
        <v/>
      </c>
      <c r="O61">
        <f>IF(AND($D61&lt;=DATE(2026,3,7),$E61&gt;=DATE(2026,3,1)),1,"")</f>
        <v/>
      </c>
      <c r="P61">
        <f>IF(AND($D61&lt;=DATE(2026,3,14),$E61&gt;=DATE(2026,3,8)),1,"")</f>
        <v/>
      </c>
      <c r="Q61">
        <f>IF(AND($D61&lt;=DATE(2026,3,21),$E61&gt;=DATE(2026,3,15)),1,"")</f>
        <v/>
      </c>
      <c r="R61">
        <f>IF(AND($D61&lt;=DATE(2026,3,31),$E61&gt;=DATE(2026,3,22)),1,"")</f>
        <v/>
      </c>
      <c r="S61">
        <f>IF(AND($D61&lt;=DATE(2026,4,7),$E61&gt;=DATE(2026,4,1)),1,"")</f>
        <v/>
      </c>
      <c r="T61">
        <f>IF(AND($D61&lt;=DATE(2026,4,14),$E61&gt;=DATE(2026,4,8)),1,"")</f>
        <v/>
      </c>
      <c r="U61">
        <f>IF(AND($D61&lt;=DATE(2026,4,21),$E61&gt;=DATE(2026,4,15)),1,"")</f>
        <v/>
      </c>
      <c r="V61">
        <f>IF(AND($D61&lt;=DATE(2026,4,30),$E61&gt;=DATE(2026,4,22)),1,"")</f>
        <v/>
      </c>
      <c r="W61">
        <f>IF(AND($D61&lt;=DATE(2026,5,7),$E61&gt;=DATE(2026,5,1)),1,"")</f>
        <v/>
      </c>
      <c r="X61">
        <f>IF(AND($D61&lt;=DATE(2026,5,14),$E61&gt;=DATE(2026,5,8)),1,"")</f>
        <v/>
      </c>
      <c r="Y61">
        <f>IF(AND($D61&lt;=DATE(2026,5,21),$E61&gt;=DATE(2026,5,15)),1,"")</f>
        <v/>
      </c>
      <c r="Z61">
        <f>IF(AND($D61&lt;=DATE(2026,5,31),$E61&gt;=DATE(2026,5,22)),1,"")</f>
        <v/>
      </c>
      <c r="AA61">
        <f>IF(AND($D61&lt;=DATE(2026,6,7),$E61&gt;=DATE(2026,6,1)),1,"")</f>
        <v/>
      </c>
      <c r="AB61">
        <f>IF(AND($D61&lt;=DATE(2026,6,14),$E61&gt;=DATE(2026,6,8)),1,"")</f>
        <v/>
      </c>
      <c r="AC61">
        <f>IF(AND($D61&lt;=DATE(2026,6,21),$E61&gt;=DATE(2026,6,15)),1,"")</f>
        <v/>
      </c>
      <c r="AD61">
        <f>IF(AND($D61&lt;=DATE(2026,6,30),$E61&gt;=DATE(2026,6,22)),1,"")</f>
        <v/>
      </c>
      <c r="AE61">
        <f>IF(AND($D61&lt;=DATE(2026,7,7),$E61&gt;=DATE(2026,7,1)),1,"")</f>
        <v/>
      </c>
      <c r="AF61">
        <f>IF(AND($D61&lt;=DATE(2026,7,14),$E61&gt;=DATE(2026,7,8)),1,"")</f>
        <v/>
      </c>
      <c r="AG61">
        <f>IF(AND($D61&lt;=DATE(2026,7,21),$E61&gt;=DATE(2026,7,15)),1,"")</f>
        <v/>
      </c>
      <c r="AH61">
        <f>IF(AND($D61&lt;=DATE(2026,7,31),$E61&gt;=DATE(2026,7,22)),1,"")</f>
        <v/>
      </c>
      <c r="AI61">
        <f>IF(AND($D61&lt;=DATE(2026,8,7),$E61&gt;=DATE(2026,8,1)),1,"")</f>
        <v/>
      </c>
      <c r="AJ61">
        <f>IF(AND($D61&lt;=DATE(2026,8,14),$E61&gt;=DATE(2026,8,8)),1,"")</f>
        <v/>
      </c>
      <c r="AK61">
        <f>IF(AND($D61&lt;=DATE(2026,8,21),$E61&gt;=DATE(2026,8,15)),1,"")</f>
        <v/>
      </c>
      <c r="AL61">
        <f>IF(AND($D61&lt;=DATE(2026,8,31),$E61&gt;=DATE(2026,8,22)),1,"")</f>
        <v/>
      </c>
      <c r="AM61">
        <f>IF(AND($D61&lt;=DATE(2026,9,7),$E61&gt;=DATE(2026,9,1)),1,"")</f>
        <v/>
      </c>
      <c r="AN61">
        <f>IF(AND($D61&lt;=DATE(2026,9,14),$E61&gt;=DATE(2026,9,8)),1,"")</f>
        <v/>
      </c>
      <c r="AO61">
        <f>IF(AND($D61&lt;=DATE(2026,9,21),$E61&gt;=DATE(2026,9,15)),1,"")</f>
        <v/>
      </c>
      <c r="AP61">
        <f>IF(AND($D61&lt;=DATE(2026,9,30),$E61&gt;=DATE(2026,9,22)),1,"")</f>
        <v/>
      </c>
      <c r="AQ61">
        <f>IF(AND($D61&lt;=DATE(2026,10,7),$E61&gt;=DATE(2026,10,1)),1,"")</f>
        <v/>
      </c>
      <c r="AR61">
        <f>IF(AND($D61&lt;=DATE(2026,10,14),$E61&gt;=DATE(2026,10,8)),1,"")</f>
        <v/>
      </c>
      <c r="AS61">
        <f>IF(AND($D61&lt;=DATE(2026,10,21),$E61&gt;=DATE(2026,10,15)),1,"")</f>
        <v/>
      </c>
      <c r="AT61">
        <f>IF(AND($D61&lt;=DATE(2026,10,31),$E61&gt;=DATE(2026,10,22)),1,"")</f>
        <v/>
      </c>
      <c r="AU61">
        <f>IF(AND($D61&lt;=DATE(2026,11,7),$E61&gt;=DATE(2026,11,1)),1,"")</f>
        <v/>
      </c>
      <c r="AV61">
        <f>IF(AND($D61&lt;=DATE(2026,11,14),$E61&gt;=DATE(2026,11,8)),1,"")</f>
        <v/>
      </c>
      <c r="AW61">
        <f>IF(AND($D61&lt;=DATE(2026,11,21),$E61&gt;=DATE(2026,11,15)),1,"")</f>
        <v/>
      </c>
      <c r="AX61">
        <f>IF(AND($D61&lt;=DATE(2026,11,30),$E61&gt;=DATE(2026,11,22)),1,"")</f>
        <v/>
      </c>
      <c r="AY61">
        <f>IF(AND($D61&lt;=DATE(2026,12,7),$E61&gt;=DATE(2026,12,1)),1,"")</f>
        <v/>
      </c>
      <c r="AZ61">
        <f>IF(AND($D61&lt;=DATE(2026,12,14),$E61&gt;=DATE(2026,12,8)),1,"")</f>
        <v/>
      </c>
      <c r="BA61">
        <f>IF(AND($D61&lt;=DATE(2026,12,21),$E61&gt;=DATE(2026,12,15)),1,"")</f>
        <v/>
      </c>
      <c r="BB61">
        <f>IF(AND($D61&lt;=DATE(2026,12,31),$E61&gt;=DATE(2026,12,22)),1,"")</f>
        <v/>
      </c>
    </row>
    <row r="62" ht="15" customHeight="1">
      <c r="F62">
        <f>IF(OR(D62="",E62=""),"",E62-D62+1)</f>
        <v/>
      </c>
      <c r="G62">
        <f>IF(AND($D62&lt;=DATE(2026,1,7),$E62&gt;=DATE(2026,1,1)),1,"")</f>
        <v/>
      </c>
      <c r="H62">
        <f>IF(AND($D62&lt;=DATE(2026,1,14),$E62&gt;=DATE(2026,1,8)),1,"")</f>
        <v/>
      </c>
      <c r="I62">
        <f>IF(AND($D62&lt;=DATE(2026,1,21),$E62&gt;=DATE(2026,1,15)),1,"")</f>
        <v/>
      </c>
      <c r="J62">
        <f>IF(AND($D62&lt;=DATE(2026,1,31),$E62&gt;=DATE(2026,1,22)),1,"")</f>
        <v/>
      </c>
      <c r="K62">
        <f>IF(AND($D62&lt;=DATE(2026,2,7),$E62&gt;=DATE(2026,2,1)),1,"")</f>
        <v/>
      </c>
      <c r="L62">
        <f>IF(AND($D62&lt;=DATE(2026,2,14),$E62&gt;=DATE(2026,2,8)),1,"")</f>
        <v/>
      </c>
      <c r="M62">
        <f>IF(AND($D62&lt;=DATE(2026,2,21),$E62&gt;=DATE(2026,2,15)),1,"")</f>
        <v/>
      </c>
      <c r="N62">
        <f>IF(AND($D62&lt;=DATE(2026,2,28),$E62&gt;=DATE(2026,2,22)),1,"")</f>
        <v/>
      </c>
      <c r="O62">
        <f>IF(AND($D62&lt;=DATE(2026,3,7),$E62&gt;=DATE(2026,3,1)),1,"")</f>
        <v/>
      </c>
      <c r="P62">
        <f>IF(AND($D62&lt;=DATE(2026,3,14),$E62&gt;=DATE(2026,3,8)),1,"")</f>
        <v/>
      </c>
      <c r="Q62">
        <f>IF(AND($D62&lt;=DATE(2026,3,21),$E62&gt;=DATE(2026,3,15)),1,"")</f>
        <v/>
      </c>
      <c r="R62">
        <f>IF(AND($D62&lt;=DATE(2026,3,31),$E62&gt;=DATE(2026,3,22)),1,"")</f>
        <v/>
      </c>
      <c r="S62">
        <f>IF(AND($D62&lt;=DATE(2026,4,7),$E62&gt;=DATE(2026,4,1)),1,"")</f>
        <v/>
      </c>
      <c r="T62">
        <f>IF(AND($D62&lt;=DATE(2026,4,14),$E62&gt;=DATE(2026,4,8)),1,"")</f>
        <v/>
      </c>
      <c r="U62">
        <f>IF(AND($D62&lt;=DATE(2026,4,21),$E62&gt;=DATE(2026,4,15)),1,"")</f>
        <v/>
      </c>
      <c r="V62">
        <f>IF(AND($D62&lt;=DATE(2026,4,30),$E62&gt;=DATE(2026,4,22)),1,"")</f>
        <v/>
      </c>
      <c r="W62">
        <f>IF(AND($D62&lt;=DATE(2026,5,7),$E62&gt;=DATE(2026,5,1)),1,"")</f>
        <v/>
      </c>
      <c r="X62">
        <f>IF(AND($D62&lt;=DATE(2026,5,14),$E62&gt;=DATE(2026,5,8)),1,"")</f>
        <v/>
      </c>
      <c r="Y62">
        <f>IF(AND($D62&lt;=DATE(2026,5,21),$E62&gt;=DATE(2026,5,15)),1,"")</f>
        <v/>
      </c>
      <c r="Z62">
        <f>IF(AND($D62&lt;=DATE(2026,5,31),$E62&gt;=DATE(2026,5,22)),1,"")</f>
        <v/>
      </c>
      <c r="AA62">
        <f>IF(AND($D62&lt;=DATE(2026,6,7),$E62&gt;=DATE(2026,6,1)),1,"")</f>
        <v/>
      </c>
      <c r="AB62">
        <f>IF(AND($D62&lt;=DATE(2026,6,14),$E62&gt;=DATE(2026,6,8)),1,"")</f>
        <v/>
      </c>
      <c r="AC62">
        <f>IF(AND($D62&lt;=DATE(2026,6,21),$E62&gt;=DATE(2026,6,15)),1,"")</f>
        <v/>
      </c>
      <c r="AD62">
        <f>IF(AND($D62&lt;=DATE(2026,6,30),$E62&gt;=DATE(2026,6,22)),1,"")</f>
        <v/>
      </c>
      <c r="AE62">
        <f>IF(AND($D62&lt;=DATE(2026,7,7),$E62&gt;=DATE(2026,7,1)),1,"")</f>
        <v/>
      </c>
      <c r="AF62">
        <f>IF(AND($D62&lt;=DATE(2026,7,14),$E62&gt;=DATE(2026,7,8)),1,"")</f>
        <v/>
      </c>
      <c r="AG62">
        <f>IF(AND($D62&lt;=DATE(2026,7,21),$E62&gt;=DATE(2026,7,15)),1,"")</f>
        <v/>
      </c>
      <c r="AH62">
        <f>IF(AND($D62&lt;=DATE(2026,7,31),$E62&gt;=DATE(2026,7,22)),1,"")</f>
        <v/>
      </c>
      <c r="AI62">
        <f>IF(AND($D62&lt;=DATE(2026,8,7),$E62&gt;=DATE(2026,8,1)),1,"")</f>
        <v/>
      </c>
      <c r="AJ62">
        <f>IF(AND($D62&lt;=DATE(2026,8,14),$E62&gt;=DATE(2026,8,8)),1,"")</f>
        <v/>
      </c>
      <c r="AK62">
        <f>IF(AND($D62&lt;=DATE(2026,8,21),$E62&gt;=DATE(2026,8,15)),1,"")</f>
        <v/>
      </c>
      <c r="AL62">
        <f>IF(AND($D62&lt;=DATE(2026,8,31),$E62&gt;=DATE(2026,8,22)),1,"")</f>
        <v/>
      </c>
      <c r="AM62">
        <f>IF(AND($D62&lt;=DATE(2026,9,7),$E62&gt;=DATE(2026,9,1)),1,"")</f>
        <v/>
      </c>
      <c r="AN62">
        <f>IF(AND($D62&lt;=DATE(2026,9,14),$E62&gt;=DATE(2026,9,8)),1,"")</f>
        <v/>
      </c>
      <c r="AO62">
        <f>IF(AND($D62&lt;=DATE(2026,9,21),$E62&gt;=DATE(2026,9,15)),1,"")</f>
        <v/>
      </c>
      <c r="AP62">
        <f>IF(AND($D62&lt;=DATE(2026,9,30),$E62&gt;=DATE(2026,9,22)),1,"")</f>
        <v/>
      </c>
      <c r="AQ62">
        <f>IF(AND($D62&lt;=DATE(2026,10,7),$E62&gt;=DATE(2026,10,1)),1,"")</f>
        <v/>
      </c>
      <c r="AR62">
        <f>IF(AND($D62&lt;=DATE(2026,10,14),$E62&gt;=DATE(2026,10,8)),1,"")</f>
        <v/>
      </c>
      <c r="AS62">
        <f>IF(AND($D62&lt;=DATE(2026,10,21),$E62&gt;=DATE(2026,10,15)),1,"")</f>
        <v/>
      </c>
      <c r="AT62">
        <f>IF(AND($D62&lt;=DATE(2026,10,31),$E62&gt;=DATE(2026,10,22)),1,"")</f>
        <v/>
      </c>
      <c r="AU62">
        <f>IF(AND($D62&lt;=DATE(2026,11,7),$E62&gt;=DATE(2026,11,1)),1,"")</f>
        <v/>
      </c>
      <c r="AV62">
        <f>IF(AND($D62&lt;=DATE(2026,11,14),$E62&gt;=DATE(2026,11,8)),1,"")</f>
        <v/>
      </c>
      <c r="AW62">
        <f>IF(AND($D62&lt;=DATE(2026,11,21),$E62&gt;=DATE(2026,11,15)),1,"")</f>
        <v/>
      </c>
      <c r="AX62">
        <f>IF(AND($D62&lt;=DATE(2026,11,30),$E62&gt;=DATE(2026,11,22)),1,"")</f>
        <v/>
      </c>
      <c r="AY62">
        <f>IF(AND($D62&lt;=DATE(2026,12,7),$E62&gt;=DATE(2026,12,1)),1,"")</f>
        <v/>
      </c>
      <c r="AZ62">
        <f>IF(AND($D62&lt;=DATE(2026,12,14),$E62&gt;=DATE(2026,12,8)),1,"")</f>
        <v/>
      </c>
      <c r="BA62">
        <f>IF(AND($D62&lt;=DATE(2026,12,21),$E62&gt;=DATE(2026,12,15)),1,"")</f>
        <v/>
      </c>
      <c r="BB62">
        <f>IF(AND($D62&lt;=DATE(2026,12,31),$E62&gt;=DATE(2026,12,22)),1,"")</f>
        <v/>
      </c>
    </row>
    <row r="63" ht="15" customHeight="1">
      <c r="F63">
        <f>IF(OR(D63="",E63=""),"",E63-D63+1)</f>
        <v/>
      </c>
      <c r="G63">
        <f>IF(AND($D63&lt;=DATE(2026,1,7),$E63&gt;=DATE(2026,1,1)),1,"")</f>
        <v/>
      </c>
      <c r="H63">
        <f>IF(AND($D63&lt;=DATE(2026,1,14),$E63&gt;=DATE(2026,1,8)),1,"")</f>
        <v/>
      </c>
      <c r="I63">
        <f>IF(AND($D63&lt;=DATE(2026,1,21),$E63&gt;=DATE(2026,1,15)),1,"")</f>
        <v/>
      </c>
      <c r="J63">
        <f>IF(AND($D63&lt;=DATE(2026,1,31),$E63&gt;=DATE(2026,1,22)),1,"")</f>
        <v/>
      </c>
      <c r="K63">
        <f>IF(AND($D63&lt;=DATE(2026,2,7),$E63&gt;=DATE(2026,2,1)),1,"")</f>
        <v/>
      </c>
      <c r="L63">
        <f>IF(AND($D63&lt;=DATE(2026,2,14),$E63&gt;=DATE(2026,2,8)),1,"")</f>
        <v/>
      </c>
      <c r="M63">
        <f>IF(AND($D63&lt;=DATE(2026,2,21),$E63&gt;=DATE(2026,2,15)),1,"")</f>
        <v/>
      </c>
      <c r="N63">
        <f>IF(AND($D63&lt;=DATE(2026,2,28),$E63&gt;=DATE(2026,2,22)),1,"")</f>
        <v/>
      </c>
      <c r="O63">
        <f>IF(AND($D63&lt;=DATE(2026,3,7),$E63&gt;=DATE(2026,3,1)),1,"")</f>
        <v/>
      </c>
      <c r="P63">
        <f>IF(AND($D63&lt;=DATE(2026,3,14),$E63&gt;=DATE(2026,3,8)),1,"")</f>
        <v/>
      </c>
      <c r="Q63">
        <f>IF(AND($D63&lt;=DATE(2026,3,21),$E63&gt;=DATE(2026,3,15)),1,"")</f>
        <v/>
      </c>
      <c r="R63">
        <f>IF(AND($D63&lt;=DATE(2026,3,31),$E63&gt;=DATE(2026,3,22)),1,"")</f>
        <v/>
      </c>
      <c r="S63">
        <f>IF(AND($D63&lt;=DATE(2026,4,7),$E63&gt;=DATE(2026,4,1)),1,"")</f>
        <v/>
      </c>
      <c r="T63">
        <f>IF(AND($D63&lt;=DATE(2026,4,14),$E63&gt;=DATE(2026,4,8)),1,"")</f>
        <v/>
      </c>
      <c r="U63">
        <f>IF(AND($D63&lt;=DATE(2026,4,21),$E63&gt;=DATE(2026,4,15)),1,"")</f>
        <v/>
      </c>
      <c r="V63">
        <f>IF(AND($D63&lt;=DATE(2026,4,30),$E63&gt;=DATE(2026,4,22)),1,"")</f>
        <v/>
      </c>
      <c r="W63">
        <f>IF(AND($D63&lt;=DATE(2026,5,7),$E63&gt;=DATE(2026,5,1)),1,"")</f>
        <v/>
      </c>
      <c r="X63">
        <f>IF(AND($D63&lt;=DATE(2026,5,14),$E63&gt;=DATE(2026,5,8)),1,"")</f>
        <v/>
      </c>
      <c r="Y63">
        <f>IF(AND($D63&lt;=DATE(2026,5,21),$E63&gt;=DATE(2026,5,15)),1,"")</f>
        <v/>
      </c>
      <c r="Z63">
        <f>IF(AND($D63&lt;=DATE(2026,5,31),$E63&gt;=DATE(2026,5,22)),1,"")</f>
        <v/>
      </c>
      <c r="AA63">
        <f>IF(AND($D63&lt;=DATE(2026,6,7),$E63&gt;=DATE(2026,6,1)),1,"")</f>
        <v/>
      </c>
      <c r="AB63">
        <f>IF(AND($D63&lt;=DATE(2026,6,14),$E63&gt;=DATE(2026,6,8)),1,"")</f>
        <v/>
      </c>
      <c r="AC63">
        <f>IF(AND($D63&lt;=DATE(2026,6,21),$E63&gt;=DATE(2026,6,15)),1,"")</f>
        <v/>
      </c>
      <c r="AD63">
        <f>IF(AND($D63&lt;=DATE(2026,6,30),$E63&gt;=DATE(2026,6,22)),1,"")</f>
        <v/>
      </c>
      <c r="AE63">
        <f>IF(AND($D63&lt;=DATE(2026,7,7),$E63&gt;=DATE(2026,7,1)),1,"")</f>
        <v/>
      </c>
      <c r="AF63">
        <f>IF(AND($D63&lt;=DATE(2026,7,14),$E63&gt;=DATE(2026,7,8)),1,"")</f>
        <v/>
      </c>
      <c r="AG63">
        <f>IF(AND($D63&lt;=DATE(2026,7,21),$E63&gt;=DATE(2026,7,15)),1,"")</f>
        <v/>
      </c>
      <c r="AH63">
        <f>IF(AND($D63&lt;=DATE(2026,7,31),$E63&gt;=DATE(2026,7,22)),1,"")</f>
        <v/>
      </c>
      <c r="AI63">
        <f>IF(AND($D63&lt;=DATE(2026,8,7),$E63&gt;=DATE(2026,8,1)),1,"")</f>
        <v/>
      </c>
      <c r="AJ63">
        <f>IF(AND($D63&lt;=DATE(2026,8,14),$E63&gt;=DATE(2026,8,8)),1,"")</f>
        <v/>
      </c>
      <c r="AK63">
        <f>IF(AND($D63&lt;=DATE(2026,8,21),$E63&gt;=DATE(2026,8,15)),1,"")</f>
        <v/>
      </c>
      <c r="AL63">
        <f>IF(AND($D63&lt;=DATE(2026,8,31),$E63&gt;=DATE(2026,8,22)),1,"")</f>
        <v/>
      </c>
      <c r="AM63">
        <f>IF(AND($D63&lt;=DATE(2026,9,7),$E63&gt;=DATE(2026,9,1)),1,"")</f>
        <v/>
      </c>
      <c r="AN63">
        <f>IF(AND($D63&lt;=DATE(2026,9,14),$E63&gt;=DATE(2026,9,8)),1,"")</f>
        <v/>
      </c>
      <c r="AO63">
        <f>IF(AND($D63&lt;=DATE(2026,9,21),$E63&gt;=DATE(2026,9,15)),1,"")</f>
        <v/>
      </c>
      <c r="AP63">
        <f>IF(AND($D63&lt;=DATE(2026,9,30),$E63&gt;=DATE(2026,9,22)),1,"")</f>
        <v/>
      </c>
      <c r="AQ63">
        <f>IF(AND($D63&lt;=DATE(2026,10,7),$E63&gt;=DATE(2026,10,1)),1,"")</f>
        <v/>
      </c>
      <c r="AR63">
        <f>IF(AND($D63&lt;=DATE(2026,10,14),$E63&gt;=DATE(2026,10,8)),1,"")</f>
        <v/>
      </c>
      <c r="AS63">
        <f>IF(AND($D63&lt;=DATE(2026,10,21),$E63&gt;=DATE(2026,10,15)),1,"")</f>
        <v/>
      </c>
      <c r="AT63">
        <f>IF(AND($D63&lt;=DATE(2026,10,31),$E63&gt;=DATE(2026,10,22)),1,"")</f>
        <v/>
      </c>
      <c r="AU63">
        <f>IF(AND($D63&lt;=DATE(2026,11,7),$E63&gt;=DATE(2026,11,1)),1,"")</f>
        <v/>
      </c>
      <c r="AV63">
        <f>IF(AND($D63&lt;=DATE(2026,11,14),$E63&gt;=DATE(2026,11,8)),1,"")</f>
        <v/>
      </c>
      <c r="AW63">
        <f>IF(AND($D63&lt;=DATE(2026,11,21),$E63&gt;=DATE(2026,11,15)),1,"")</f>
        <v/>
      </c>
      <c r="AX63">
        <f>IF(AND($D63&lt;=DATE(2026,11,30),$E63&gt;=DATE(2026,11,22)),1,"")</f>
        <v/>
      </c>
      <c r="AY63">
        <f>IF(AND($D63&lt;=DATE(2026,12,7),$E63&gt;=DATE(2026,12,1)),1,"")</f>
        <v/>
      </c>
      <c r="AZ63">
        <f>IF(AND($D63&lt;=DATE(2026,12,14),$E63&gt;=DATE(2026,12,8)),1,"")</f>
        <v/>
      </c>
      <c r="BA63">
        <f>IF(AND($D63&lt;=DATE(2026,12,21),$E63&gt;=DATE(2026,12,15)),1,"")</f>
        <v/>
      </c>
      <c r="BB63">
        <f>IF(AND($D63&lt;=DATE(2026,12,31),$E63&gt;=DATE(2026,12,22)),1,"")</f>
        <v/>
      </c>
    </row>
    <row r="64" ht="15" customHeight="1"/>
    <row r="65" ht="15" customHeight="1">
      <c r="F65">
        <f>IF(OR(D65="",E65=""),"",E65-D65+1)</f>
        <v/>
      </c>
      <c r="G65">
        <f>IF(AND($D65&lt;=DATE(2026,1,7),$E65&gt;=DATE(2026,1,1)),1,"")</f>
        <v/>
      </c>
      <c r="H65">
        <f>IF(AND($D65&lt;=DATE(2026,1,14),$E65&gt;=DATE(2026,1,8)),1,"")</f>
        <v/>
      </c>
      <c r="I65">
        <f>IF(AND($D65&lt;=DATE(2026,1,21),$E65&gt;=DATE(2026,1,15)),1,"")</f>
        <v/>
      </c>
      <c r="J65">
        <f>IF(AND($D65&lt;=DATE(2026,1,31),$E65&gt;=DATE(2026,1,22)),1,"")</f>
        <v/>
      </c>
      <c r="K65">
        <f>IF(AND($D65&lt;=DATE(2026,2,7),$E65&gt;=DATE(2026,2,1)),1,"")</f>
        <v/>
      </c>
      <c r="L65">
        <f>IF(AND($D65&lt;=DATE(2026,2,14),$E65&gt;=DATE(2026,2,8)),1,"")</f>
        <v/>
      </c>
      <c r="M65">
        <f>IF(AND($D65&lt;=DATE(2026,2,21),$E65&gt;=DATE(2026,2,15)),1,"")</f>
        <v/>
      </c>
      <c r="N65">
        <f>IF(AND($D65&lt;=DATE(2026,2,28),$E65&gt;=DATE(2026,2,22)),1,"")</f>
        <v/>
      </c>
      <c r="O65">
        <f>IF(AND($D65&lt;=DATE(2026,3,7),$E65&gt;=DATE(2026,3,1)),1,"")</f>
        <v/>
      </c>
      <c r="P65">
        <f>IF(AND($D65&lt;=DATE(2026,3,14),$E65&gt;=DATE(2026,3,8)),1,"")</f>
        <v/>
      </c>
      <c r="Q65">
        <f>IF(AND($D65&lt;=DATE(2026,3,21),$E65&gt;=DATE(2026,3,15)),1,"")</f>
        <v/>
      </c>
      <c r="R65">
        <f>IF(AND($D65&lt;=DATE(2026,3,31),$E65&gt;=DATE(2026,3,22)),1,"")</f>
        <v/>
      </c>
      <c r="S65">
        <f>IF(AND($D65&lt;=DATE(2026,4,7),$E65&gt;=DATE(2026,4,1)),1,"")</f>
        <v/>
      </c>
      <c r="T65">
        <f>IF(AND($D65&lt;=DATE(2026,4,14),$E65&gt;=DATE(2026,4,8)),1,"")</f>
        <v/>
      </c>
      <c r="U65">
        <f>IF(AND($D65&lt;=DATE(2026,4,21),$E65&gt;=DATE(2026,4,15)),1,"")</f>
        <v/>
      </c>
      <c r="V65">
        <f>IF(AND($D65&lt;=DATE(2026,4,30),$E65&gt;=DATE(2026,4,22)),1,"")</f>
        <v/>
      </c>
      <c r="W65">
        <f>IF(AND($D65&lt;=DATE(2026,5,7),$E65&gt;=DATE(2026,5,1)),1,"")</f>
        <v/>
      </c>
      <c r="X65">
        <f>IF(AND($D65&lt;=DATE(2026,5,14),$E65&gt;=DATE(2026,5,8)),1,"")</f>
        <v/>
      </c>
      <c r="Y65">
        <f>IF(AND($D65&lt;=DATE(2026,5,21),$E65&gt;=DATE(2026,5,15)),1,"")</f>
        <v/>
      </c>
      <c r="Z65">
        <f>IF(AND($D65&lt;=DATE(2026,5,31),$E65&gt;=DATE(2026,5,22)),1,"")</f>
        <v/>
      </c>
      <c r="AA65">
        <f>IF(AND($D65&lt;=DATE(2026,6,7),$E65&gt;=DATE(2026,6,1)),1,"")</f>
        <v/>
      </c>
      <c r="AB65">
        <f>IF(AND($D65&lt;=DATE(2026,6,14),$E65&gt;=DATE(2026,6,8)),1,"")</f>
        <v/>
      </c>
      <c r="AC65">
        <f>IF(AND($D65&lt;=DATE(2026,6,21),$E65&gt;=DATE(2026,6,15)),1,"")</f>
        <v/>
      </c>
      <c r="AD65">
        <f>IF(AND($D65&lt;=DATE(2026,6,30),$E65&gt;=DATE(2026,6,22)),1,"")</f>
        <v/>
      </c>
      <c r="AE65">
        <f>IF(AND($D65&lt;=DATE(2026,7,7),$E65&gt;=DATE(2026,7,1)),1,"")</f>
        <v/>
      </c>
      <c r="AF65">
        <f>IF(AND($D65&lt;=DATE(2026,7,14),$E65&gt;=DATE(2026,7,8)),1,"")</f>
        <v/>
      </c>
      <c r="AG65">
        <f>IF(AND($D65&lt;=DATE(2026,7,21),$E65&gt;=DATE(2026,7,15)),1,"")</f>
        <v/>
      </c>
      <c r="AH65">
        <f>IF(AND($D65&lt;=DATE(2026,7,31),$E65&gt;=DATE(2026,7,22)),1,"")</f>
        <v/>
      </c>
      <c r="AI65">
        <f>IF(AND($D65&lt;=DATE(2026,8,7),$E65&gt;=DATE(2026,8,1)),1,"")</f>
        <v/>
      </c>
      <c r="AJ65">
        <f>IF(AND($D65&lt;=DATE(2026,8,14),$E65&gt;=DATE(2026,8,8)),1,"")</f>
        <v/>
      </c>
      <c r="AK65">
        <f>IF(AND($D65&lt;=DATE(2026,8,21),$E65&gt;=DATE(2026,8,15)),1,"")</f>
        <v/>
      </c>
      <c r="AL65">
        <f>IF(AND($D65&lt;=DATE(2026,8,31),$E65&gt;=DATE(2026,8,22)),1,"")</f>
        <v/>
      </c>
      <c r="AM65">
        <f>IF(AND($D65&lt;=DATE(2026,9,7),$E65&gt;=DATE(2026,9,1)),1,"")</f>
        <v/>
      </c>
      <c r="AN65">
        <f>IF(AND($D65&lt;=DATE(2026,9,14),$E65&gt;=DATE(2026,9,8)),1,"")</f>
        <v/>
      </c>
      <c r="AO65">
        <f>IF(AND($D65&lt;=DATE(2026,9,21),$E65&gt;=DATE(2026,9,15)),1,"")</f>
        <v/>
      </c>
      <c r="AP65">
        <f>IF(AND($D65&lt;=DATE(2026,9,30),$E65&gt;=DATE(2026,9,22)),1,"")</f>
        <v/>
      </c>
      <c r="AQ65">
        <f>IF(AND($D65&lt;=DATE(2026,10,7),$E65&gt;=DATE(2026,10,1)),1,"")</f>
        <v/>
      </c>
      <c r="AR65">
        <f>IF(AND($D65&lt;=DATE(2026,10,14),$E65&gt;=DATE(2026,10,8)),1,"")</f>
        <v/>
      </c>
      <c r="AS65">
        <f>IF(AND($D65&lt;=DATE(2026,10,21),$E65&gt;=DATE(2026,10,15)),1,"")</f>
        <v/>
      </c>
      <c r="AT65">
        <f>IF(AND($D65&lt;=DATE(2026,10,31),$E65&gt;=DATE(2026,10,22)),1,"")</f>
        <v/>
      </c>
      <c r="AU65">
        <f>IF(AND($D65&lt;=DATE(2026,11,7),$E65&gt;=DATE(2026,11,1)),1,"")</f>
        <v/>
      </c>
      <c r="AV65">
        <f>IF(AND($D65&lt;=DATE(2026,11,14),$E65&gt;=DATE(2026,11,8)),1,"")</f>
        <v/>
      </c>
      <c r="AW65">
        <f>IF(AND($D65&lt;=DATE(2026,11,21),$E65&gt;=DATE(2026,11,15)),1,"")</f>
        <v/>
      </c>
      <c r="AX65">
        <f>IF(AND($D65&lt;=DATE(2026,11,30),$E65&gt;=DATE(2026,11,22)),1,"")</f>
        <v/>
      </c>
      <c r="AY65">
        <f>IF(AND($D65&lt;=DATE(2026,12,7),$E65&gt;=DATE(2026,12,1)),1,"")</f>
        <v/>
      </c>
      <c r="AZ65">
        <f>IF(AND($D65&lt;=DATE(2026,12,14),$E65&gt;=DATE(2026,12,8)),1,"")</f>
        <v/>
      </c>
      <c r="BA65">
        <f>IF(AND($D65&lt;=DATE(2026,12,21),$E65&gt;=DATE(2026,12,15)),1,"")</f>
        <v/>
      </c>
      <c r="BB65">
        <f>IF(AND($D65&lt;=DATE(2026,12,31),$E65&gt;=DATE(2026,12,22)),1,"")</f>
        <v/>
      </c>
    </row>
    <row r="66" ht="15" customHeight="1">
      <c r="F66">
        <f>IF(OR(D66="",E66=""),"",E66-D66+1)</f>
        <v/>
      </c>
      <c r="G66">
        <f>IF(AND($D66&lt;=DATE(2026,1,7),$E66&gt;=DATE(2026,1,1)),1,"")</f>
        <v/>
      </c>
      <c r="H66">
        <f>IF(AND($D66&lt;=DATE(2026,1,14),$E66&gt;=DATE(2026,1,8)),1,"")</f>
        <v/>
      </c>
      <c r="I66">
        <f>IF(AND($D66&lt;=DATE(2026,1,21),$E66&gt;=DATE(2026,1,15)),1,"")</f>
        <v/>
      </c>
      <c r="J66">
        <f>IF(AND($D66&lt;=DATE(2026,1,31),$E66&gt;=DATE(2026,1,22)),1,"")</f>
        <v/>
      </c>
      <c r="K66">
        <f>IF(AND($D66&lt;=DATE(2026,2,7),$E66&gt;=DATE(2026,2,1)),1,"")</f>
        <v/>
      </c>
      <c r="L66">
        <f>IF(AND($D66&lt;=DATE(2026,2,14),$E66&gt;=DATE(2026,2,8)),1,"")</f>
        <v/>
      </c>
      <c r="M66">
        <f>IF(AND($D66&lt;=DATE(2026,2,21),$E66&gt;=DATE(2026,2,15)),1,"")</f>
        <v/>
      </c>
      <c r="N66">
        <f>IF(AND($D66&lt;=DATE(2026,2,28),$E66&gt;=DATE(2026,2,22)),1,"")</f>
        <v/>
      </c>
      <c r="O66">
        <f>IF(AND($D66&lt;=DATE(2026,3,7),$E66&gt;=DATE(2026,3,1)),1,"")</f>
        <v/>
      </c>
      <c r="P66">
        <f>IF(AND($D66&lt;=DATE(2026,3,14),$E66&gt;=DATE(2026,3,8)),1,"")</f>
        <v/>
      </c>
      <c r="Q66">
        <f>IF(AND($D66&lt;=DATE(2026,3,21),$E66&gt;=DATE(2026,3,15)),1,"")</f>
        <v/>
      </c>
      <c r="R66">
        <f>IF(AND($D66&lt;=DATE(2026,3,31),$E66&gt;=DATE(2026,3,22)),1,"")</f>
        <v/>
      </c>
      <c r="S66">
        <f>IF(AND($D66&lt;=DATE(2026,4,7),$E66&gt;=DATE(2026,4,1)),1,"")</f>
        <v/>
      </c>
      <c r="T66">
        <f>IF(AND($D66&lt;=DATE(2026,4,14),$E66&gt;=DATE(2026,4,8)),1,"")</f>
        <v/>
      </c>
      <c r="U66">
        <f>IF(AND($D66&lt;=DATE(2026,4,21),$E66&gt;=DATE(2026,4,15)),1,"")</f>
        <v/>
      </c>
      <c r="V66">
        <f>IF(AND($D66&lt;=DATE(2026,4,30),$E66&gt;=DATE(2026,4,22)),1,"")</f>
        <v/>
      </c>
      <c r="W66">
        <f>IF(AND($D66&lt;=DATE(2026,5,7),$E66&gt;=DATE(2026,5,1)),1,"")</f>
        <v/>
      </c>
      <c r="X66">
        <f>IF(AND($D66&lt;=DATE(2026,5,14),$E66&gt;=DATE(2026,5,8)),1,"")</f>
        <v/>
      </c>
      <c r="Y66">
        <f>IF(AND($D66&lt;=DATE(2026,5,21),$E66&gt;=DATE(2026,5,15)),1,"")</f>
        <v/>
      </c>
      <c r="Z66">
        <f>IF(AND($D66&lt;=DATE(2026,5,31),$E66&gt;=DATE(2026,5,22)),1,"")</f>
        <v/>
      </c>
      <c r="AA66">
        <f>IF(AND($D66&lt;=DATE(2026,6,7),$E66&gt;=DATE(2026,6,1)),1,"")</f>
        <v/>
      </c>
      <c r="AB66">
        <f>IF(AND($D66&lt;=DATE(2026,6,14),$E66&gt;=DATE(2026,6,8)),1,"")</f>
        <v/>
      </c>
      <c r="AC66">
        <f>IF(AND($D66&lt;=DATE(2026,6,21),$E66&gt;=DATE(2026,6,15)),1,"")</f>
        <v/>
      </c>
      <c r="AD66">
        <f>IF(AND($D66&lt;=DATE(2026,6,30),$E66&gt;=DATE(2026,6,22)),1,"")</f>
        <v/>
      </c>
      <c r="AE66">
        <f>IF(AND($D66&lt;=DATE(2026,7,7),$E66&gt;=DATE(2026,7,1)),1,"")</f>
        <v/>
      </c>
      <c r="AF66">
        <f>IF(AND($D66&lt;=DATE(2026,7,14),$E66&gt;=DATE(2026,7,8)),1,"")</f>
        <v/>
      </c>
      <c r="AG66">
        <f>IF(AND($D66&lt;=DATE(2026,7,21),$E66&gt;=DATE(2026,7,15)),1,"")</f>
        <v/>
      </c>
      <c r="AH66">
        <f>IF(AND($D66&lt;=DATE(2026,7,31),$E66&gt;=DATE(2026,7,22)),1,"")</f>
        <v/>
      </c>
      <c r="AI66">
        <f>IF(AND($D66&lt;=DATE(2026,8,7),$E66&gt;=DATE(2026,8,1)),1,"")</f>
        <v/>
      </c>
      <c r="AJ66">
        <f>IF(AND($D66&lt;=DATE(2026,8,14),$E66&gt;=DATE(2026,8,8)),1,"")</f>
        <v/>
      </c>
      <c r="AK66">
        <f>IF(AND($D66&lt;=DATE(2026,8,21),$E66&gt;=DATE(2026,8,15)),1,"")</f>
        <v/>
      </c>
      <c r="AL66">
        <f>IF(AND($D66&lt;=DATE(2026,8,31),$E66&gt;=DATE(2026,8,22)),1,"")</f>
        <v/>
      </c>
      <c r="AM66">
        <f>IF(AND($D66&lt;=DATE(2026,9,7),$E66&gt;=DATE(2026,9,1)),1,"")</f>
        <v/>
      </c>
      <c r="AN66">
        <f>IF(AND($D66&lt;=DATE(2026,9,14),$E66&gt;=DATE(2026,9,8)),1,"")</f>
        <v/>
      </c>
      <c r="AO66">
        <f>IF(AND($D66&lt;=DATE(2026,9,21),$E66&gt;=DATE(2026,9,15)),1,"")</f>
        <v/>
      </c>
      <c r="AP66">
        <f>IF(AND($D66&lt;=DATE(2026,9,30),$E66&gt;=DATE(2026,9,22)),1,"")</f>
        <v/>
      </c>
      <c r="AQ66">
        <f>IF(AND($D66&lt;=DATE(2026,10,7),$E66&gt;=DATE(2026,10,1)),1,"")</f>
        <v/>
      </c>
      <c r="AR66">
        <f>IF(AND($D66&lt;=DATE(2026,10,14),$E66&gt;=DATE(2026,10,8)),1,"")</f>
        <v/>
      </c>
      <c r="AS66">
        <f>IF(AND($D66&lt;=DATE(2026,10,21),$E66&gt;=DATE(2026,10,15)),1,"")</f>
        <v/>
      </c>
      <c r="AT66">
        <f>IF(AND($D66&lt;=DATE(2026,10,31),$E66&gt;=DATE(2026,10,22)),1,"")</f>
        <v/>
      </c>
      <c r="AU66">
        <f>IF(AND($D66&lt;=DATE(2026,11,7),$E66&gt;=DATE(2026,11,1)),1,"")</f>
        <v/>
      </c>
      <c r="AV66">
        <f>IF(AND($D66&lt;=DATE(2026,11,14),$E66&gt;=DATE(2026,11,8)),1,"")</f>
        <v/>
      </c>
      <c r="AW66">
        <f>IF(AND($D66&lt;=DATE(2026,11,21),$E66&gt;=DATE(2026,11,15)),1,"")</f>
        <v/>
      </c>
      <c r="AX66">
        <f>IF(AND($D66&lt;=DATE(2026,11,30),$E66&gt;=DATE(2026,11,22)),1,"")</f>
        <v/>
      </c>
      <c r="AY66">
        <f>IF(AND($D66&lt;=DATE(2026,12,7),$E66&gt;=DATE(2026,12,1)),1,"")</f>
        <v/>
      </c>
      <c r="AZ66">
        <f>IF(AND($D66&lt;=DATE(2026,12,14),$E66&gt;=DATE(2026,12,8)),1,"")</f>
        <v/>
      </c>
      <c r="BA66">
        <f>IF(AND($D66&lt;=DATE(2026,12,21),$E66&gt;=DATE(2026,12,15)),1,"")</f>
        <v/>
      </c>
      <c r="BB66">
        <f>IF(AND($D66&lt;=DATE(2026,12,31),$E66&gt;=DATE(2026,12,22)),1,"")</f>
        <v/>
      </c>
    </row>
    <row r="67" ht="15" customHeight="1">
      <c r="F67">
        <f>IF(OR(D67="",E67=""),"",E67-D67+1)</f>
        <v/>
      </c>
      <c r="G67">
        <f>IF(AND($D67&lt;=DATE(2026,1,7),$E67&gt;=DATE(2026,1,1)),1,"")</f>
        <v/>
      </c>
      <c r="H67">
        <f>IF(AND($D67&lt;=DATE(2026,1,14),$E67&gt;=DATE(2026,1,8)),1,"")</f>
        <v/>
      </c>
      <c r="I67">
        <f>IF(AND($D67&lt;=DATE(2026,1,21),$E67&gt;=DATE(2026,1,15)),1,"")</f>
        <v/>
      </c>
      <c r="J67">
        <f>IF(AND($D67&lt;=DATE(2026,1,31),$E67&gt;=DATE(2026,1,22)),1,"")</f>
        <v/>
      </c>
      <c r="K67">
        <f>IF(AND($D67&lt;=DATE(2026,2,7),$E67&gt;=DATE(2026,2,1)),1,"")</f>
        <v/>
      </c>
      <c r="L67">
        <f>IF(AND($D67&lt;=DATE(2026,2,14),$E67&gt;=DATE(2026,2,8)),1,"")</f>
        <v/>
      </c>
      <c r="M67">
        <f>IF(AND($D67&lt;=DATE(2026,2,21),$E67&gt;=DATE(2026,2,15)),1,"")</f>
        <v/>
      </c>
      <c r="N67">
        <f>IF(AND($D67&lt;=DATE(2026,2,28),$E67&gt;=DATE(2026,2,22)),1,"")</f>
        <v/>
      </c>
      <c r="O67">
        <f>IF(AND($D67&lt;=DATE(2026,3,7),$E67&gt;=DATE(2026,3,1)),1,"")</f>
        <v/>
      </c>
      <c r="P67">
        <f>IF(AND($D67&lt;=DATE(2026,3,14),$E67&gt;=DATE(2026,3,8)),1,"")</f>
        <v/>
      </c>
      <c r="Q67">
        <f>IF(AND($D67&lt;=DATE(2026,3,21),$E67&gt;=DATE(2026,3,15)),1,"")</f>
        <v/>
      </c>
      <c r="R67">
        <f>IF(AND($D67&lt;=DATE(2026,3,31),$E67&gt;=DATE(2026,3,22)),1,"")</f>
        <v/>
      </c>
      <c r="S67">
        <f>IF(AND($D67&lt;=DATE(2026,4,7),$E67&gt;=DATE(2026,4,1)),1,"")</f>
        <v/>
      </c>
      <c r="T67">
        <f>IF(AND($D67&lt;=DATE(2026,4,14),$E67&gt;=DATE(2026,4,8)),1,"")</f>
        <v/>
      </c>
      <c r="U67">
        <f>IF(AND($D67&lt;=DATE(2026,4,21),$E67&gt;=DATE(2026,4,15)),1,"")</f>
        <v/>
      </c>
      <c r="V67">
        <f>IF(AND($D67&lt;=DATE(2026,4,30),$E67&gt;=DATE(2026,4,22)),1,"")</f>
        <v/>
      </c>
      <c r="W67">
        <f>IF(AND($D67&lt;=DATE(2026,5,7),$E67&gt;=DATE(2026,5,1)),1,"")</f>
        <v/>
      </c>
      <c r="X67">
        <f>IF(AND($D67&lt;=DATE(2026,5,14),$E67&gt;=DATE(2026,5,8)),1,"")</f>
        <v/>
      </c>
      <c r="Y67">
        <f>IF(AND($D67&lt;=DATE(2026,5,21),$E67&gt;=DATE(2026,5,15)),1,"")</f>
        <v/>
      </c>
      <c r="Z67">
        <f>IF(AND($D67&lt;=DATE(2026,5,31),$E67&gt;=DATE(2026,5,22)),1,"")</f>
        <v/>
      </c>
      <c r="AA67">
        <f>IF(AND($D67&lt;=DATE(2026,6,7),$E67&gt;=DATE(2026,6,1)),1,"")</f>
        <v/>
      </c>
      <c r="AB67">
        <f>IF(AND($D67&lt;=DATE(2026,6,14),$E67&gt;=DATE(2026,6,8)),1,"")</f>
        <v/>
      </c>
      <c r="AC67">
        <f>IF(AND($D67&lt;=DATE(2026,6,21),$E67&gt;=DATE(2026,6,15)),1,"")</f>
        <v/>
      </c>
      <c r="AD67">
        <f>IF(AND($D67&lt;=DATE(2026,6,30),$E67&gt;=DATE(2026,6,22)),1,"")</f>
        <v/>
      </c>
      <c r="AE67">
        <f>IF(AND($D67&lt;=DATE(2026,7,7),$E67&gt;=DATE(2026,7,1)),1,"")</f>
        <v/>
      </c>
      <c r="AF67">
        <f>IF(AND($D67&lt;=DATE(2026,7,14),$E67&gt;=DATE(2026,7,8)),1,"")</f>
        <v/>
      </c>
      <c r="AG67">
        <f>IF(AND($D67&lt;=DATE(2026,7,21),$E67&gt;=DATE(2026,7,15)),1,"")</f>
        <v/>
      </c>
      <c r="AH67">
        <f>IF(AND($D67&lt;=DATE(2026,7,31),$E67&gt;=DATE(2026,7,22)),1,"")</f>
        <v/>
      </c>
      <c r="AI67">
        <f>IF(AND($D67&lt;=DATE(2026,8,7),$E67&gt;=DATE(2026,8,1)),1,"")</f>
        <v/>
      </c>
      <c r="AJ67">
        <f>IF(AND($D67&lt;=DATE(2026,8,14),$E67&gt;=DATE(2026,8,8)),1,"")</f>
        <v/>
      </c>
      <c r="AK67">
        <f>IF(AND($D67&lt;=DATE(2026,8,21),$E67&gt;=DATE(2026,8,15)),1,"")</f>
        <v/>
      </c>
      <c r="AL67">
        <f>IF(AND($D67&lt;=DATE(2026,8,31),$E67&gt;=DATE(2026,8,22)),1,"")</f>
        <v/>
      </c>
      <c r="AM67">
        <f>IF(AND($D67&lt;=DATE(2026,9,7),$E67&gt;=DATE(2026,9,1)),1,"")</f>
        <v/>
      </c>
      <c r="AN67">
        <f>IF(AND($D67&lt;=DATE(2026,9,14),$E67&gt;=DATE(2026,9,8)),1,"")</f>
        <v/>
      </c>
      <c r="AO67">
        <f>IF(AND($D67&lt;=DATE(2026,9,21),$E67&gt;=DATE(2026,9,15)),1,"")</f>
        <v/>
      </c>
      <c r="AP67">
        <f>IF(AND($D67&lt;=DATE(2026,9,30),$E67&gt;=DATE(2026,9,22)),1,"")</f>
        <v/>
      </c>
      <c r="AQ67">
        <f>IF(AND($D67&lt;=DATE(2026,10,7),$E67&gt;=DATE(2026,10,1)),1,"")</f>
        <v/>
      </c>
      <c r="AR67">
        <f>IF(AND($D67&lt;=DATE(2026,10,14),$E67&gt;=DATE(2026,10,8)),1,"")</f>
        <v/>
      </c>
      <c r="AS67">
        <f>IF(AND($D67&lt;=DATE(2026,10,21),$E67&gt;=DATE(2026,10,15)),1,"")</f>
        <v/>
      </c>
      <c r="AT67">
        <f>IF(AND($D67&lt;=DATE(2026,10,31),$E67&gt;=DATE(2026,10,22)),1,"")</f>
        <v/>
      </c>
      <c r="AU67">
        <f>IF(AND($D67&lt;=DATE(2026,11,7),$E67&gt;=DATE(2026,11,1)),1,"")</f>
        <v/>
      </c>
      <c r="AV67">
        <f>IF(AND($D67&lt;=DATE(2026,11,14),$E67&gt;=DATE(2026,11,8)),1,"")</f>
        <v/>
      </c>
      <c r="AW67">
        <f>IF(AND($D67&lt;=DATE(2026,11,21),$E67&gt;=DATE(2026,11,15)),1,"")</f>
        <v/>
      </c>
      <c r="AX67">
        <f>IF(AND($D67&lt;=DATE(2026,11,30),$E67&gt;=DATE(2026,11,22)),1,"")</f>
        <v/>
      </c>
      <c r="AY67">
        <f>IF(AND($D67&lt;=DATE(2026,12,7),$E67&gt;=DATE(2026,12,1)),1,"")</f>
        <v/>
      </c>
      <c r="AZ67">
        <f>IF(AND($D67&lt;=DATE(2026,12,14),$E67&gt;=DATE(2026,12,8)),1,"")</f>
        <v/>
      </c>
      <c r="BA67">
        <f>IF(AND($D67&lt;=DATE(2026,12,21),$E67&gt;=DATE(2026,12,15)),1,"")</f>
        <v/>
      </c>
      <c r="BB67">
        <f>IF(AND($D67&lt;=DATE(2026,12,31),$E67&gt;=DATE(2026,12,22)),1,"")</f>
        <v/>
      </c>
    </row>
    <row r="68" ht="15" customHeight="1">
      <c r="F68">
        <f>IF(OR(D68="",E68=""),"",E68-D68+1)</f>
        <v/>
      </c>
      <c r="G68">
        <f>IF(AND($D68&lt;=DATE(2026,1,7),$E68&gt;=DATE(2026,1,1)),1,"")</f>
        <v/>
      </c>
      <c r="H68">
        <f>IF(AND($D68&lt;=DATE(2026,1,14),$E68&gt;=DATE(2026,1,8)),1,"")</f>
        <v/>
      </c>
      <c r="I68">
        <f>IF(AND($D68&lt;=DATE(2026,1,21),$E68&gt;=DATE(2026,1,15)),1,"")</f>
        <v/>
      </c>
      <c r="J68">
        <f>IF(AND($D68&lt;=DATE(2026,1,31),$E68&gt;=DATE(2026,1,22)),1,"")</f>
        <v/>
      </c>
      <c r="K68">
        <f>IF(AND($D68&lt;=DATE(2026,2,7),$E68&gt;=DATE(2026,2,1)),1,"")</f>
        <v/>
      </c>
      <c r="L68">
        <f>IF(AND($D68&lt;=DATE(2026,2,14),$E68&gt;=DATE(2026,2,8)),1,"")</f>
        <v/>
      </c>
      <c r="M68">
        <f>IF(AND($D68&lt;=DATE(2026,2,21),$E68&gt;=DATE(2026,2,15)),1,"")</f>
        <v/>
      </c>
      <c r="N68">
        <f>IF(AND($D68&lt;=DATE(2026,2,28),$E68&gt;=DATE(2026,2,22)),1,"")</f>
        <v/>
      </c>
      <c r="O68">
        <f>IF(AND($D68&lt;=DATE(2026,3,7),$E68&gt;=DATE(2026,3,1)),1,"")</f>
        <v/>
      </c>
      <c r="P68">
        <f>IF(AND($D68&lt;=DATE(2026,3,14),$E68&gt;=DATE(2026,3,8)),1,"")</f>
        <v/>
      </c>
      <c r="Q68">
        <f>IF(AND($D68&lt;=DATE(2026,3,21),$E68&gt;=DATE(2026,3,15)),1,"")</f>
        <v/>
      </c>
      <c r="R68">
        <f>IF(AND($D68&lt;=DATE(2026,3,31),$E68&gt;=DATE(2026,3,22)),1,"")</f>
        <v/>
      </c>
      <c r="S68">
        <f>IF(AND($D68&lt;=DATE(2026,4,7),$E68&gt;=DATE(2026,4,1)),1,"")</f>
        <v/>
      </c>
      <c r="T68">
        <f>IF(AND($D68&lt;=DATE(2026,4,14),$E68&gt;=DATE(2026,4,8)),1,"")</f>
        <v/>
      </c>
      <c r="U68">
        <f>IF(AND($D68&lt;=DATE(2026,4,21),$E68&gt;=DATE(2026,4,15)),1,"")</f>
        <v/>
      </c>
      <c r="V68">
        <f>IF(AND($D68&lt;=DATE(2026,4,30),$E68&gt;=DATE(2026,4,22)),1,"")</f>
        <v/>
      </c>
      <c r="W68">
        <f>IF(AND($D68&lt;=DATE(2026,5,7),$E68&gt;=DATE(2026,5,1)),1,"")</f>
        <v/>
      </c>
      <c r="X68">
        <f>IF(AND($D68&lt;=DATE(2026,5,14),$E68&gt;=DATE(2026,5,8)),1,"")</f>
        <v/>
      </c>
      <c r="Y68">
        <f>IF(AND($D68&lt;=DATE(2026,5,21),$E68&gt;=DATE(2026,5,15)),1,"")</f>
        <v/>
      </c>
      <c r="Z68">
        <f>IF(AND($D68&lt;=DATE(2026,5,31),$E68&gt;=DATE(2026,5,22)),1,"")</f>
        <v/>
      </c>
      <c r="AA68">
        <f>IF(AND($D68&lt;=DATE(2026,6,7),$E68&gt;=DATE(2026,6,1)),1,"")</f>
        <v/>
      </c>
      <c r="AB68">
        <f>IF(AND($D68&lt;=DATE(2026,6,14),$E68&gt;=DATE(2026,6,8)),1,"")</f>
        <v/>
      </c>
      <c r="AC68">
        <f>IF(AND($D68&lt;=DATE(2026,6,21),$E68&gt;=DATE(2026,6,15)),1,"")</f>
        <v/>
      </c>
      <c r="AD68">
        <f>IF(AND($D68&lt;=DATE(2026,6,30),$E68&gt;=DATE(2026,6,22)),1,"")</f>
        <v/>
      </c>
      <c r="AE68">
        <f>IF(AND($D68&lt;=DATE(2026,7,7),$E68&gt;=DATE(2026,7,1)),1,"")</f>
        <v/>
      </c>
      <c r="AF68">
        <f>IF(AND($D68&lt;=DATE(2026,7,14),$E68&gt;=DATE(2026,7,8)),1,"")</f>
        <v/>
      </c>
      <c r="AG68">
        <f>IF(AND($D68&lt;=DATE(2026,7,21),$E68&gt;=DATE(2026,7,15)),1,"")</f>
        <v/>
      </c>
      <c r="AH68">
        <f>IF(AND($D68&lt;=DATE(2026,7,31),$E68&gt;=DATE(2026,7,22)),1,"")</f>
        <v/>
      </c>
      <c r="AI68">
        <f>IF(AND($D68&lt;=DATE(2026,8,7),$E68&gt;=DATE(2026,8,1)),1,"")</f>
        <v/>
      </c>
      <c r="AJ68">
        <f>IF(AND($D68&lt;=DATE(2026,8,14),$E68&gt;=DATE(2026,8,8)),1,"")</f>
        <v/>
      </c>
      <c r="AK68">
        <f>IF(AND($D68&lt;=DATE(2026,8,21),$E68&gt;=DATE(2026,8,15)),1,"")</f>
        <v/>
      </c>
      <c r="AL68">
        <f>IF(AND($D68&lt;=DATE(2026,8,31),$E68&gt;=DATE(2026,8,22)),1,"")</f>
        <v/>
      </c>
      <c r="AM68">
        <f>IF(AND($D68&lt;=DATE(2026,9,7),$E68&gt;=DATE(2026,9,1)),1,"")</f>
        <v/>
      </c>
      <c r="AN68">
        <f>IF(AND($D68&lt;=DATE(2026,9,14),$E68&gt;=DATE(2026,9,8)),1,"")</f>
        <v/>
      </c>
      <c r="AO68">
        <f>IF(AND($D68&lt;=DATE(2026,9,21),$E68&gt;=DATE(2026,9,15)),1,"")</f>
        <v/>
      </c>
      <c r="AP68">
        <f>IF(AND($D68&lt;=DATE(2026,9,30),$E68&gt;=DATE(2026,9,22)),1,"")</f>
        <v/>
      </c>
      <c r="AQ68">
        <f>IF(AND($D68&lt;=DATE(2026,10,7),$E68&gt;=DATE(2026,10,1)),1,"")</f>
        <v/>
      </c>
      <c r="AR68">
        <f>IF(AND($D68&lt;=DATE(2026,10,14),$E68&gt;=DATE(2026,10,8)),1,"")</f>
        <v/>
      </c>
      <c r="AS68">
        <f>IF(AND($D68&lt;=DATE(2026,10,21),$E68&gt;=DATE(2026,10,15)),1,"")</f>
        <v/>
      </c>
      <c r="AT68">
        <f>IF(AND($D68&lt;=DATE(2026,10,31),$E68&gt;=DATE(2026,10,22)),1,"")</f>
        <v/>
      </c>
      <c r="AU68">
        <f>IF(AND($D68&lt;=DATE(2026,11,7),$E68&gt;=DATE(2026,11,1)),1,"")</f>
        <v/>
      </c>
      <c r="AV68">
        <f>IF(AND($D68&lt;=DATE(2026,11,14),$E68&gt;=DATE(2026,11,8)),1,"")</f>
        <v/>
      </c>
      <c r="AW68">
        <f>IF(AND($D68&lt;=DATE(2026,11,21),$E68&gt;=DATE(2026,11,15)),1,"")</f>
        <v/>
      </c>
      <c r="AX68">
        <f>IF(AND($D68&lt;=DATE(2026,11,30),$E68&gt;=DATE(2026,11,22)),1,"")</f>
        <v/>
      </c>
      <c r="AY68">
        <f>IF(AND($D68&lt;=DATE(2026,12,7),$E68&gt;=DATE(2026,12,1)),1,"")</f>
        <v/>
      </c>
      <c r="AZ68">
        <f>IF(AND($D68&lt;=DATE(2026,12,14),$E68&gt;=DATE(2026,12,8)),1,"")</f>
        <v/>
      </c>
      <c r="BA68">
        <f>IF(AND($D68&lt;=DATE(2026,12,21),$E68&gt;=DATE(2026,12,15)),1,"")</f>
        <v/>
      </c>
      <c r="BB68">
        <f>IF(AND($D68&lt;=DATE(2026,12,31),$E68&gt;=DATE(2026,12,22)),1,"")</f>
        <v/>
      </c>
    </row>
    <row r="69" ht="15" customHeight="1">
      <c r="F69">
        <f>IF(OR(D69="",E69=""),"",E69-D69+1)</f>
        <v/>
      </c>
      <c r="G69">
        <f>IF(AND($D69&lt;=DATE(2026,1,7),$E69&gt;=DATE(2026,1,1)),1,"")</f>
        <v/>
      </c>
      <c r="H69">
        <f>IF(AND($D69&lt;=DATE(2026,1,14),$E69&gt;=DATE(2026,1,8)),1,"")</f>
        <v/>
      </c>
      <c r="I69">
        <f>IF(AND($D69&lt;=DATE(2026,1,21),$E69&gt;=DATE(2026,1,15)),1,"")</f>
        <v/>
      </c>
      <c r="J69">
        <f>IF(AND($D69&lt;=DATE(2026,1,31),$E69&gt;=DATE(2026,1,22)),1,"")</f>
        <v/>
      </c>
      <c r="K69">
        <f>IF(AND($D69&lt;=DATE(2026,2,7),$E69&gt;=DATE(2026,2,1)),1,"")</f>
        <v/>
      </c>
      <c r="L69">
        <f>IF(AND($D69&lt;=DATE(2026,2,14),$E69&gt;=DATE(2026,2,8)),1,"")</f>
        <v/>
      </c>
      <c r="M69">
        <f>IF(AND($D69&lt;=DATE(2026,2,21),$E69&gt;=DATE(2026,2,15)),1,"")</f>
        <v/>
      </c>
      <c r="N69">
        <f>IF(AND($D69&lt;=DATE(2026,2,28),$E69&gt;=DATE(2026,2,22)),1,"")</f>
        <v/>
      </c>
      <c r="O69">
        <f>IF(AND($D69&lt;=DATE(2026,3,7),$E69&gt;=DATE(2026,3,1)),1,"")</f>
        <v/>
      </c>
      <c r="P69">
        <f>IF(AND($D69&lt;=DATE(2026,3,14),$E69&gt;=DATE(2026,3,8)),1,"")</f>
        <v/>
      </c>
      <c r="Q69">
        <f>IF(AND($D69&lt;=DATE(2026,3,21),$E69&gt;=DATE(2026,3,15)),1,"")</f>
        <v/>
      </c>
      <c r="R69">
        <f>IF(AND($D69&lt;=DATE(2026,3,31),$E69&gt;=DATE(2026,3,22)),1,"")</f>
        <v/>
      </c>
      <c r="S69">
        <f>IF(AND($D69&lt;=DATE(2026,4,7),$E69&gt;=DATE(2026,4,1)),1,"")</f>
        <v/>
      </c>
      <c r="T69">
        <f>IF(AND($D69&lt;=DATE(2026,4,14),$E69&gt;=DATE(2026,4,8)),1,"")</f>
        <v/>
      </c>
      <c r="U69">
        <f>IF(AND($D69&lt;=DATE(2026,4,21),$E69&gt;=DATE(2026,4,15)),1,"")</f>
        <v/>
      </c>
      <c r="V69">
        <f>IF(AND($D69&lt;=DATE(2026,4,30),$E69&gt;=DATE(2026,4,22)),1,"")</f>
        <v/>
      </c>
      <c r="W69">
        <f>IF(AND($D69&lt;=DATE(2026,5,7),$E69&gt;=DATE(2026,5,1)),1,"")</f>
        <v/>
      </c>
      <c r="X69">
        <f>IF(AND($D69&lt;=DATE(2026,5,14),$E69&gt;=DATE(2026,5,8)),1,"")</f>
        <v/>
      </c>
      <c r="Y69">
        <f>IF(AND($D69&lt;=DATE(2026,5,21),$E69&gt;=DATE(2026,5,15)),1,"")</f>
        <v/>
      </c>
      <c r="Z69">
        <f>IF(AND($D69&lt;=DATE(2026,5,31),$E69&gt;=DATE(2026,5,22)),1,"")</f>
        <v/>
      </c>
      <c r="AA69">
        <f>IF(AND($D69&lt;=DATE(2026,6,7),$E69&gt;=DATE(2026,6,1)),1,"")</f>
        <v/>
      </c>
      <c r="AB69">
        <f>IF(AND($D69&lt;=DATE(2026,6,14),$E69&gt;=DATE(2026,6,8)),1,"")</f>
        <v/>
      </c>
      <c r="AC69">
        <f>IF(AND($D69&lt;=DATE(2026,6,21),$E69&gt;=DATE(2026,6,15)),1,"")</f>
        <v/>
      </c>
      <c r="AD69">
        <f>IF(AND($D69&lt;=DATE(2026,6,30),$E69&gt;=DATE(2026,6,22)),1,"")</f>
        <v/>
      </c>
      <c r="AE69">
        <f>IF(AND($D69&lt;=DATE(2026,7,7),$E69&gt;=DATE(2026,7,1)),1,"")</f>
        <v/>
      </c>
      <c r="AF69">
        <f>IF(AND($D69&lt;=DATE(2026,7,14),$E69&gt;=DATE(2026,7,8)),1,"")</f>
        <v/>
      </c>
      <c r="AG69">
        <f>IF(AND($D69&lt;=DATE(2026,7,21),$E69&gt;=DATE(2026,7,15)),1,"")</f>
        <v/>
      </c>
      <c r="AH69">
        <f>IF(AND($D69&lt;=DATE(2026,7,31),$E69&gt;=DATE(2026,7,22)),1,"")</f>
        <v/>
      </c>
      <c r="AI69">
        <f>IF(AND($D69&lt;=DATE(2026,8,7),$E69&gt;=DATE(2026,8,1)),1,"")</f>
        <v/>
      </c>
      <c r="AJ69">
        <f>IF(AND($D69&lt;=DATE(2026,8,14),$E69&gt;=DATE(2026,8,8)),1,"")</f>
        <v/>
      </c>
      <c r="AK69">
        <f>IF(AND($D69&lt;=DATE(2026,8,21),$E69&gt;=DATE(2026,8,15)),1,"")</f>
        <v/>
      </c>
      <c r="AL69">
        <f>IF(AND($D69&lt;=DATE(2026,8,31),$E69&gt;=DATE(2026,8,22)),1,"")</f>
        <v/>
      </c>
      <c r="AM69">
        <f>IF(AND($D69&lt;=DATE(2026,9,7),$E69&gt;=DATE(2026,9,1)),1,"")</f>
        <v/>
      </c>
      <c r="AN69">
        <f>IF(AND($D69&lt;=DATE(2026,9,14),$E69&gt;=DATE(2026,9,8)),1,"")</f>
        <v/>
      </c>
      <c r="AO69">
        <f>IF(AND($D69&lt;=DATE(2026,9,21),$E69&gt;=DATE(2026,9,15)),1,"")</f>
        <v/>
      </c>
      <c r="AP69">
        <f>IF(AND($D69&lt;=DATE(2026,9,30),$E69&gt;=DATE(2026,9,22)),1,"")</f>
        <v/>
      </c>
      <c r="AQ69">
        <f>IF(AND($D69&lt;=DATE(2026,10,7),$E69&gt;=DATE(2026,10,1)),1,"")</f>
        <v/>
      </c>
      <c r="AR69">
        <f>IF(AND($D69&lt;=DATE(2026,10,14),$E69&gt;=DATE(2026,10,8)),1,"")</f>
        <v/>
      </c>
      <c r="AS69">
        <f>IF(AND($D69&lt;=DATE(2026,10,21),$E69&gt;=DATE(2026,10,15)),1,"")</f>
        <v/>
      </c>
      <c r="AT69">
        <f>IF(AND($D69&lt;=DATE(2026,10,31),$E69&gt;=DATE(2026,10,22)),1,"")</f>
        <v/>
      </c>
      <c r="AU69">
        <f>IF(AND($D69&lt;=DATE(2026,11,7),$E69&gt;=DATE(2026,11,1)),1,"")</f>
        <v/>
      </c>
      <c r="AV69">
        <f>IF(AND($D69&lt;=DATE(2026,11,14),$E69&gt;=DATE(2026,11,8)),1,"")</f>
        <v/>
      </c>
      <c r="AW69">
        <f>IF(AND($D69&lt;=DATE(2026,11,21),$E69&gt;=DATE(2026,11,15)),1,"")</f>
        <v/>
      </c>
      <c r="AX69">
        <f>IF(AND($D69&lt;=DATE(2026,11,30),$E69&gt;=DATE(2026,11,22)),1,"")</f>
        <v/>
      </c>
      <c r="AY69">
        <f>IF(AND($D69&lt;=DATE(2026,12,7),$E69&gt;=DATE(2026,12,1)),1,"")</f>
        <v/>
      </c>
      <c r="AZ69">
        <f>IF(AND($D69&lt;=DATE(2026,12,14),$E69&gt;=DATE(2026,12,8)),1,"")</f>
        <v/>
      </c>
      <c r="BA69">
        <f>IF(AND($D69&lt;=DATE(2026,12,21),$E69&gt;=DATE(2026,12,15)),1,"")</f>
        <v/>
      </c>
      <c r="BB69">
        <f>IF(AND($D69&lt;=DATE(2026,12,31),$E69&gt;=DATE(2026,12,22)),1,"")</f>
        <v/>
      </c>
    </row>
    <row r="70" ht="15" customHeight="1">
      <c r="F70">
        <f>IF(OR(D70="",E70=""),"",E70-D70+1)</f>
        <v/>
      </c>
      <c r="G70">
        <f>IF(AND($D70&lt;=DATE(2026,1,7),$E70&gt;=DATE(2026,1,1)),1,"")</f>
        <v/>
      </c>
      <c r="H70">
        <f>IF(AND($D70&lt;=DATE(2026,1,14),$E70&gt;=DATE(2026,1,8)),1,"")</f>
        <v/>
      </c>
      <c r="I70">
        <f>IF(AND($D70&lt;=DATE(2026,1,21),$E70&gt;=DATE(2026,1,15)),1,"")</f>
        <v/>
      </c>
      <c r="J70">
        <f>IF(AND($D70&lt;=DATE(2026,1,31),$E70&gt;=DATE(2026,1,22)),1,"")</f>
        <v/>
      </c>
      <c r="K70">
        <f>IF(AND($D70&lt;=DATE(2026,2,7),$E70&gt;=DATE(2026,2,1)),1,"")</f>
        <v/>
      </c>
      <c r="L70">
        <f>IF(AND($D70&lt;=DATE(2026,2,14),$E70&gt;=DATE(2026,2,8)),1,"")</f>
        <v/>
      </c>
      <c r="M70">
        <f>IF(AND($D70&lt;=DATE(2026,2,21),$E70&gt;=DATE(2026,2,15)),1,"")</f>
        <v/>
      </c>
      <c r="N70">
        <f>IF(AND($D70&lt;=DATE(2026,2,28),$E70&gt;=DATE(2026,2,22)),1,"")</f>
        <v/>
      </c>
      <c r="O70">
        <f>IF(AND($D70&lt;=DATE(2026,3,7),$E70&gt;=DATE(2026,3,1)),1,"")</f>
        <v/>
      </c>
      <c r="P70">
        <f>IF(AND($D70&lt;=DATE(2026,3,14),$E70&gt;=DATE(2026,3,8)),1,"")</f>
        <v/>
      </c>
      <c r="Q70">
        <f>IF(AND($D70&lt;=DATE(2026,3,21),$E70&gt;=DATE(2026,3,15)),1,"")</f>
        <v/>
      </c>
      <c r="R70">
        <f>IF(AND($D70&lt;=DATE(2026,3,31),$E70&gt;=DATE(2026,3,22)),1,"")</f>
        <v/>
      </c>
      <c r="S70">
        <f>IF(AND($D70&lt;=DATE(2026,4,7),$E70&gt;=DATE(2026,4,1)),1,"")</f>
        <v/>
      </c>
      <c r="T70">
        <f>IF(AND($D70&lt;=DATE(2026,4,14),$E70&gt;=DATE(2026,4,8)),1,"")</f>
        <v/>
      </c>
      <c r="U70">
        <f>IF(AND($D70&lt;=DATE(2026,4,21),$E70&gt;=DATE(2026,4,15)),1,"")</f>
        <v/>
      </c>
      <c r="V70">
        <f>IF(AND($D70&lt;=DATE(2026,4,30),$E70&gt;=DATE(2026,4,22)),1,"")</f>
        <v/>
      </c>
      <c r="W70">
        <f>IF(AND($D70&lt;=DATE(2026,5,7),$E70&gt;=DATE(2026,5,1)),1,"")</f>
        <v/>
      </c>
      <c r="X70">
        <f>IF(AND($D70&lt;=DATE(2026,5,14),$E70&gt;=DATE(2026,5,8)),1,"")</f>
        <v/>
      </c>
      <c r="Y70">
        <f>IF(AND($D70&lt;=DATE(2026,5,21),$E70&gt;=DATE(2026,5,15)),1,"")</f>
        <v/>
      </c>
      <c r="Z70">
        <f>IF(AND($D70&lt;=DATE(2026,5,31),$E70&gt;=DATE(2026,5,22)),1,"")</f>
        <v/>
      </c>
      <c r="AA70">
        <f>IF(AND($D70&lt;=DATE(2026,6,7),$E70&gt;=DATE(2026,6,1)),1,"")</f>
        <v/>
      </c>
      <c r="AB70">
        <f>IF(AND($D70&lt;=DATE(2026,6,14),$E70&gt;=DATE(2026,6,8)),1,"")</f>
        <v/>
      </c>
      <c r="AC70">
        <f>IF(AND($D70&lt;=DATE(2026,6,21),$E70&gt;=DATE(2026,6,15)),1,"")</f>
        <v/>
      </c>
      <c r="AD70">
        <f>IF(AND($D70&lt;=DATE(2026,6,30),$E70&gt;=DATE(2026,6,22)),1,"")</f>
        <v/>
      </c>
      <c r="AE70">
        <f>IF(AND($D70&lt;=DATE(2026,7,7),$E70&gt;=DATE(2026,7,1)),1,"")</f>
        <v/>
      </c>
      <c r="AF70">
        <f>IF(AND($D70&lt;=DATE(2026,7,14),$E70&gt;=DATE(2026,7,8)),1,"")</f>
        <v/>
      </c>
      <c r="AG70">
        <f>IF(AND($D70&lt;=DATE(2026,7,21),$E70&gt;=DATE(2026,7,15)),1,"")</f>
        <v/>
      </c>
      <c r="AH70">
        <f>IF(AND($D70&lt;=DATE(2026,7,31),$E70&gt;=DATE(2026,7,22)),1,"")</f>
        <v/>
      </c>
      <c r="AI70">
        <f>IF(AND($D70&lt;=DATE(2026,8,7),$E70&gt;=DATE(2026,8,1)),1,"")</f>
        <v/>
      </c>
      <c r="AJ70">
        <f>IF(AND($D70&lt;=DATE(2026,8,14),$E70&gt;=DATE(2026,8,8)),1,"")</f>
        <v/>
      </c>
      <c r="AK70">
        <f>IF(AND($D70&lt;=DATE(2026,8,21),$E70&gt;=DATE(2026,8,15)),1,"")</f>
        <v/>
      </c>
      <c r="AL70">
        <f>IF(AND($D70&lt;=DATE(2026,8,31),$E70&gt;=DATE(2026,8,22)),1,"")</f>
        <v/>
      </c>
      <c r="AM70">
        <f>IF(AND($D70&lt;=DATE(2026,9,7),$E70&gt;=DATE(2026,9,1)),1,"")</f>
        <v/>
      </c>
      <c r="AN70">
        <f>IF(AND($D70&lt;=DATE(2026,9,14),$E70&gt;=DATE(2026,9,8)),1,"")</f>
        <v/>
      </c>
      <c r="AO70">
        <f>IF(AND($D70&lt;=DATE(2026,9,21),$E70&gt;=DATE(2026,9,15)),1,"")</f>
        <v/>
      </c>
      <c r="AP70">
        <f>IF(AND($D70&lt;=DATE(2026,9,30),$E70&gt;=DATE(2026,9,22)),1,"")</f>
        <v/>
      </c>
      <c r="AQ70">
        <f>IF(AND($D70&lt;=DATE(2026,10,7),$E70&gt;=DATE(2026,10,1)),1,"")</f>
        <v/>
      </c>
      <c r="AR70">
        <f>IF(AND($D70&lt;=DATE(2026,10,14),$E70&gt;=DATE(2026,10,8)),1,"")</f>
        <v/>
      </c>
      <c r="AS70">
        <f>IF(AND($D70&lt;=DATE(2026,10,21),$E70&gt;=DATE(2026,10,15)),1,"")</f>
        <v/>
      </c>
      <c r="AT70">
        <f>IF(AND($D70&lt;=DATE(2026,10,31),$E70&gt;=DATE(2026,10,22)),1,"")</f>
        <v/>
      </c>
      <c r="AU70">
        <f>IF(AND($D70&lt;=DATE(2026,11,7),$E70&gt;=DATE(2026,11,1)),1,"")</f>
        <v/>
      </c>
      <c r="AV70">
        <f>IF(AND($D70&lt;=DATE(2026,11,14),$E70&gt;=DATE(2026,11,8)),1,"")</f>
        <v/>
      </c>
      <c r="AW70">
        <f>IF(AND($D70&lt;=DATE(2026,11,21),$E70&gt;=DATE(2026,11,15)),1,"")</f>
        <v/>
      </c>
      <c r="AX70">
        <f>IF(AND($D70&lt;=DATE(2026,11,30),$E70&gt;=DATE(2026,11,22)),1,"")</f>
        <v/>
      </c>
      <c r="AY70">
        <f>IF(AND($D70&lt;=DATE(2026,12,7),$E70&gt;=DATE(2026,12,1)),1,"")</f>
        <v/>
      </c>
      <c r="AZ70">
        <f>IF(AND($D70&lt;=DATE(2026,12,14),$E70&gt;=DATE(2026,12,8)),1,"")</f>
        <v/>
      </c>
      <c r="BA70">
        <f>IF(AND($D70&lt;=DATE(2026,12,21),$E70&gt;=DATE(2026,12,15)),1,"")</f>
        <v/>
      </c>
      <c r="BB70">
        <f>IF(AND($D70&lt;=DATE(2026,12,31),$E70&gt;=DATE(2026,12,22)),1,"")</f>
        <v/>
      </c>
    </row>
    <row r="71" ht="15" customHeight="1">
      <c r="F71">
        <f>IF(OR(D71="",E71=""),"",E71-D71+1)</f>
        <v/>
      </c>
      <c r="G71">
        <f>IF(AND($D71&lt;=DATE(2026,1,7),$E71&gt;=DATE(2026,1,1)),1,"")</f>
        <v/>
      </c>
      <c r="H71">
        <f>IF(AND($D71&lt;=DATE(2026,1,14),$E71&gt;=DATE(2026,1,8)),1,"")</f>
        <v/>
      </c>
      <c r="I71">
        <f>IF(AND($D71&lt;=DATE(2026,1,21),$E71&gt;=DATE(2026,1,15)),1,"")</f>
        <v/>
      </c>
      <c r="J71">
        <f>IF(AND($D71&lt;=DATE(2026,1,31),$E71&gt;=DATE(2026,1,22)),1,"")</f>
        <v/>
      </c>
      <c r="K71">
        <f>IF(AND($D71&lt;=DATE(2026,2,7),$E71&gt;=DATE(2026,2,1)),1,"")</f>
        <v/>
      </c>
      <c r="L71">
        <f>IF(AND($D71&lt;=DATE(2026,2,14),$E71&gt;=DATE(2026,2,8)),1,"")</f>
        <v/>
      </c>
      <c r="M71">
        <f>IF(AND($D71&lt;=DATE(2026,2,21),$E71&gt;=DATE(2026,2,15)),1,"")</f>
        <v/>
      </c>
      <c r="N71">
        <f>IF(AND($D71&lt;=DATE(2026,2,28),$E71&gt;=DATE(2026,2,22)),1,"")</f>
        <v/>
      </c>
      <c r="O71">
        <f>IF(AND($D71&lt;=DATE(2026,3,7),$E71&gt;=DATE(2026,3,1)),1,"")</f>
        <v/>
      </c>
      <c r="P71">
        <f>IF(AND($D71&lt;=DATE(2026,3,14),$E71&gt;=DATE(2026,3,8)),1,"")</f>
        <v/>
      </c>
      <c r="Q71">
        <f>IF(AND($D71&lt;=DATE(2026,3,21),$E71&gt;=DATE(2026,3,15)),1,"")</f>
        <v/>
      </c>
      <c r="R71">
        <f>IF(AND($D71&lt;=DATE(2026,3,31),$E71&gt;=DATE(2026,3,22)),1,"")</f>
        <v/>
      </c>
      <c r="S71">
        <f>IF(AND($D71&lt;=DATE(2026,4,7),$E71&gt;=DATE(2026,4,1)),1,"")</f>
        <v/>
      </c>
      <c r="T71">
        <f>IF(AND($D71&lt;=DATE(2026,4,14),$E71&gt;=DATE(2026,4,8)),1,"")</f>
        <v/>
      </c>
      <c r="U71">
        <f>IF(AND($D71&lt;=DATE(2026,4,21),$E71&gt;=DATE(2026,4,15)),1,"")</f>
        <v/>
      </c>
      <c r="V71">
        <f>IF(AND($D71&lt;=DATE(2026,4,30),$E71&gt;=DATE(2026,4,22)),1,"")</f>
        <v/>
      </c>
      <c r="W71">
        <f>IF(AND($D71&lt;=DATE(2026,5,7),$E71&gt;=DATE(2026,5,1)),1,"")</f>
        <v/>
      </c>
      <c r="X71">
        <f>IF(AND($D71&lt;=DATE(2026,5,14),$E71&gt;=DATE(2026,5,8)),1,"")</f>
        <v/>
      </c>
      <c r="Y71">
        <f>IF(AND($D71&lt;=DATE(2026,5,21),$E71&gt;=DATE(2026,5,15)),1,"")</f>
        <v/>
      </c>
      <c r="Z71">
        <f>IF(AND($D71&lt;=DATE(2026,5,31),$E71&gt;=DATE(2026,5,22)),1,"")</f>
        <v/>
      </c>
      <c r="AA71">
        <f>IF(AND($D71&lt;=DATE(2026,6,7),$E71&gt;=DATE(2026,6,1)),1,"")</f>
        <v/>
      </c>
      <c r="AB71">
        <f>IF(AND($D71&lt;=DATE(2026,6,14),$E71&gt;=DATE(2026,6,8)),1,"")</f>
        <v/>
      </c>
      <c r="AC71">
        <f>IF(AND($D71&lt;=DATE(2026,6,21),$E71&gt;=DATE(2026,6,15)),1,"")</f>
        <v/>
      </c>
      <c r="AD71">
        <f>IF(AND($D71&lt;=DATE(2026,6,30),$E71&gt;=DATE(2026,6,22)),1,"")</f>
        <v/>
      </c>
      <c r="AE71">
        <f>IF(AND($D71&lt;=DATE(2026,7,7),$E71&gt;=DATE(2026,7,1)),1,"")</f>
        <v/>
      </c>
      <c r="AF71">
        <f>IF(AND($D71&lt;=DATE(2026,7,14),$E71&gt;=DATE(2026,7,8)),1,"")</f>
        <v/>
      </c>
      <c r="AG71">
        <f>IF(AND($D71&lt;=DATE(2026,7,21),$E71&gt;=DATE(2026,7,15)),1,"")</f>
        <v/>
      </c>
      <c r="AH71">
        <f>IF(AND($D71&lt;=DATE(2026,7,31),$E71&gt;=DATE(2026,7,22)),1,"")</f>
        <v/>
      </c>
      <c r="AI71">
        <f>IF(AND($D71&lt;=DATE(2026,8,7),$E71&gt;=DATE(2026,8,1)),1,"")</f>
        <v/>
      </c>
      <c r="AJ71">
        <f>IF(AND($D71&lt;=DATE(2026,8,14),$E71&gt;=DATE(2026,8,8)),1,"")</f>
        <v/>
      </c>
      <c r="AK71">
        <f>IF(AND($D71&lt;=DATE(2026,8,21),$E71&gt;=DATE(2026,8,15)),1,"")</f>
        <v/>
      </c>
      <c r="AL71">
        <f>IF(AND($D71&lt;=DATE(2026,8,31),$E71&gt;=DATE(2026,8,22)),1,"")</f>
        <v/>
      </c>
      <c r="AM71">
        <f>IF(AND($D71&lt;=DATE(2026,9,7),$E71&gt;=DATE(2026,9,1)),1,"")</f>
        <v/>
      </c>
      <c r="AN71">
        <f>IF(AND($D71&lt;=DATE(2026,9,14),$E71&gt;=DATE(2026,9,8)),1,"")</f>
        <v/>
      </c>
      <c r="AO71">
        <f>IF(AND($D71&lt;=DATE(2026,9,21),$E71&gt;=DATE(2026,9,15)),1,"")</f>
        <v/>
      </c>
      <c r="AP71">
        <f>IF(AND($D71&lt;=DATE(2026,9,30),$E71&gt;=DATE(2026,9,22)),1,"")</f>
        <v/>
      </c>
      <c r="AQ71">
        <f>IF(AND($D71&lt;=DATE(2026,10,7),$E71&gt;=DATE(2026,10,1)),1,"")</f>
        <v/>
      </c>
      <c r="AR71">
        <f>IF(AND($D71&lt;=DATE(2026,10,14),$E71&gt;=DATE(2026,10,8)),1,"")</f>
        <v/>
      </c>
      <c r="AS71">
        <f>IF(AND($D71&lt;=DATE(2026,10,21),$E71&gt;=DATE(2026,10,15)),1,"")</f>
        <v/>
      </c>
      <c r="AT71">
        <f>IF(AND($D71&lt;=DATE(2026,10,31),$E71&gt;=DATE(2026,10,22)),1,"")</f>
        <v/>
      </c>
      <c r="AU71">
        <f>IF(AND($D71&lt;=DATE(2026,11,7),$E71&gt;=DATE(2026,11,1)),1,"")</f>
        <v/>
      </c>
      <c r="AV71">
        <f>IF(AND($D71&lt;=DATE(2026,11,14),$E71&gt;=DATE(2026,11,8)),1,"")</f>
        <v/>
      </c>
      <c r="AW71">
        <f>IF(AND($D71&lt;=DATE(2026,11,21),$E71&gt;=DATE(2026,11,15)),1,"")</f>
        <v/>
      </c>
      <c r="AX71">
        <f>IF(AND($D71&lt;=DATE(2026,11,30),$E71&gt;=DATE(2026,11,22)),1,"")</f>
        <v/>
      </c>
      <c r="AY71">
        <f>IF(AND($D71&lt;=DATE(2026,12,7),$E71&gt;=DATE(2026,12,1)),1,"")</f>
        <v/>
      </c>
      <c r="AZ71">
        <f>IF(AND($D71&lt;=DATE(2026,12,14),$E71&gt;=DATE(2026,12,8)),1,"")</f>
        <v/>
      </c>
      <c r="BA71">
        <f>IF(AND($D71&lt;=DATE(2026,12,21),$E71&gt;=DATE(2026,12,15)),1,"")</f>
        <v/>
      </c>
      <c r="BB71">
        <f>IF(AND($D71&lt;=DATE(2026,12,31),$E71&gt;=DATE(2026,12,22)),1,"")</f>
        <v/>
      </c>
    </row>
    <row r="72" ht="15" customHeight="1">
      <c r="F72">
        <f>IF(OR(D72="",E72=""),"",E72-D72+1)</f>
        <v/>
      </c>
      <c r="G72">
        <f>IF(AND($D72&lt;=DATE(2026,1,7),$E72&gt;=DATE(2026,1,1)),1,"")</f>
        <v/>
      </c>
      <c r="H72">
        <f>IF(AND($D72&lt;=DATE(2026,1,14),$E72&gt;=DATE(2026,1,8)),1,"")</f>
        <v/>
      </c>
      <c r="I72">
        <f>IF(AND($D72&lt;=DATE(2026,1,21),$E72&gt;=DATE(2026,1,15)),1,"")</f>
        <v/>
      </c>
      <c r="J72">
        <f>IF(AND($D72&lt;=DATE(2026,1,31),$E72&gt;=DATE(2026,1,22)),1,"")</f>
        <v/>
      </c>
      <c r="K72">
        <f>IF(AND($D72&lt;=DATE(2026,2,7),$E72&gt;=DATE(2026,2,1)),1,"")</f>
        <v/>
      </c>
      <c r="L72">
        <f>IF(AND($D72&lt;=DATE(2026,2,14),$E72&gt;=DATE(2026,2,8)),1,"")</f>
        <v/>
      </c>
      <c r="M72">
        <f>IF(AND($D72&lt;=DATE(2026,2,21),$E72&gt;=DATE(2026,2,15)),1,"")</f>
        <v/>
      </c>
      <c r="N72">
        <f>IF(AND($D72&lt;=DATE(2026,2,28),$E72&gt;=DATE(2026,2,22)),1,"")</f>
        <v/>
      </c>
      <c r="O72">
        <f>IF(AND($D72&lt;=DATE(2026,3,7),$E72&gt;=DATE(2026,3,1)),1,"")</f>
        <v/>
      </c>
      <c r="P72">
        <f>IF(AND($D72&lt;=DATE(2026,3,14),$E72&gt;=DATE(2026,3,8)),1,"")</f>
        <v/>
      </c>
      <c r="Q72">
        <f>IF(AND($D72&lt;=DATE(2026,3,21),$E72&gt;=DATE(2026,3,15)),1,"")</f>
        <v/>
      </c>
      <c r="R72">
        <f>IF(AND($D72&lt;=DATE(2026,3,31),$E72&gt;=DATE(2026,3,22)),1,"")</f>
        <v/>
      </c>
      <c r="S72">
        <f>IF(AND($D72&lt;=DATE(2026,4,7),$E72&gt;=DATE(2026,4,1)),1,"")</f>
        <v/>
      </c>
      <c r="T72">
        <f>IF(AND($D72&lt;=DATE(2026,4,14),$E72&gt;=DATE(2026,4,8)),1,"")</f>
        <v/>
      </c>
      <c r="U72">
        <f>IF(AND($D72&lt;=DATE(2026,4,21),$E72&gt;=DATE(2026,4,15)),1,"")</f>
        <v/>
      </c>
      <c r="V72">
        <f>IF(AND($D72&lt;=DATE(2026,4,30),$E72&gt;=DATE(2026,4,22)),1,"")</f>
        <v/>
      </c>
      <c r="W72">
        <f>IF(AND($D72&lt;=DATE(2026,5,7),$E72&gt;=DATE(2026,5,1)),1,"")</f>
        <v/>
      </c>
      <c r="X72">
        <f>IF(AND($D72&lt;=DATE(2026,5,14),$E72&gt;=DATE(2026,5,8)),1,"")</f>
        <v/>
      </c>
      <c r="Y72">
        <f>IF(AND($D72&lt;=DATE(2026,5,21),$E72&gt;=DATE(2026,5,15)),1,"")</f>
        <v/>
      </c>
      <c r="Z72">
        <f>IF(AND($D72&lt;=DATE(2026,5,31),$E72&gt;=DATE(2026,5,22)),1,"")</f>
        <v/>
      </c>
      <c r="AA72">
        <f>IF(AND($D72&lt;=DATE(2026,6,7),$E72&gt;=DATE(2026,6,1)),1,"")</f>
        <v/>
      </c>
      <c r="AB72">
        <f>IF(AND($D72&lt;=DATE(2026,6,14),$E72&gt;=DATE(2026,6,8)),1,"")</f>
        <v/>
      </c>
      <c r="AC72">
        <f>IF(AND($D72&lt;=DATE(2026,6,21),$E72&gt;=DATE(2026,6,15)),1,"")</f>
        <v/>
      </c>
      <c r="AD72">
        <f>IF(AND($D72&lt;=DATE(2026,6,30),$E72&gt;=DATE(2026,6,22)),1,"")</f>
        <v/>
      </c>
      <c r="AE72">
        <f>IF(AND($D72&lt;=DATE(2026,7,7),$E72&gt;=DATE(2026,7,1)),1,"")</f>
        <v/>
      </c>
      <c r="AF72">
        <f>IF(AND($D72&lt;=DATE(2026,7,14),$E72&gt;=DATE(2026,7,8)),1,"")</f>
        <v/>
      </c>
      <c r="AG72">
        <f>IF(AND($D72&lt;=DATE(2026,7,21),$E72&gt;=DATE(2026,7,15)),1,"")</f>
        <v/>
      </c>
      <c r="AH72">
        <f>IF(AND($D72&lt;=DATE(2026,7,31),$E72&gt;=DATE(2026,7,22)),1,"")</f>
        <v/>
      </c>
      <c r="AI72">
        <f>IF(AND($D72&lt;=DATE(2026,8,7),$E72&gt;=DATE(2026,8,1)),1,"")</f>
        <v/>
      </c>
      <c r="AJ72">
        <f>IF(AND($D72&lt;=DATE(2026,8,14),$E72&gt;=DATE(2026,8,8)),1,"")</f>
        <v/>
      </c>
      <c r="AK72">
        <f>IF(AND($D72&lt;=DATE(2026,8,21),$E72&gt;=DATE(2026,8,15)),1,"")</f>
        <v/>
      </c>
      <c r="AL72">
        <f>IF(AND($D72&lt;=DATE(2026,8,31),$E72&gt;=DATE(2026,8,22)),1,"")</f>
        <v/>
      </c>
      <c r="AM72">
        <f>IF(AND($D72&lt;=DATE(2026,9,7),$E72&gt;=DATE(2026,9,1)),1,"")</f>
        <v/>
      </c>
      <c r="AN72">
        <f>IF(AND($D72&lt;=DATE(2026,9,14),$E72&gt;=DATE(2026,9,8)),1,"")</f>
        <v/>
      </c>
      <c r="AO72">
        <f>IF(AND($D72&lt;=DATE(2026,9,21),$E72&gt;=DATE(2026,9,15)),1,"")</f>
        <v/>
      </c>
      <c r="AP72">
        <f>IF(AND($D72&lt;=DATE(2026,9,30),$E72&gt;=DATE(2026,9,22)),1,"")</f>
        <v/>
      </c>
      <c r="AQ72">
        <f>IF(AND($D72&lt;=DATE(2026,10,7),$E72&gt;=DATE(2026,10,1)),1,"")</f>
        <v/>
      </c>
      <c r="AR72">
        <f>IF(AND($D72&lt;=DATE(2026,10,14),$E72&gt;=DATE(2026,10,8)),1,"")</f>
        <v/>
      </c>
      <c r="AS72">
        <f>IF(AND($D72&lt;=DATE(2026,10,21),$E72&gt;=DATE(2026,10,15)),1,"")</f>
        <v/>
      </c>
      <c r="AT72">
        <f>IF(AND($D72&lt;=DATE(2026,10,31),$E72&gt;=DATE(2026,10,22)),1,"")</f>
        <v/>
      </c>
      <c r="AU72">
        <f>IF(AND($D72&lt;=DATE(2026,11,7),$E72&gt;=DATE(2026,11,1)),1,"")</f>
        <v/>
      </c>
      <c r="AV72">
        <f>IF(AND($D72&lt;=DATE(2026,11,14),$E72&gt;=DATE(2026,11,8)),1,"")</f>
        <v/>
      </c>
      <c r="AW72">
        <f>IF(AND($D72&lt;=DATE(2026,11,21),$E72&gt;=DATE(2026,11,15)),1,"")</f>
        <v/>
      </c>
      <c r="AX72">
        <f>IF(AND($D72&lt;=DATE(2026,11,30),$E72&gt;=DATE(2026,11,22)),1,"")</f>
        <v/>
      </c>
      <c r="AY72">
        <f>IF(AND($D72&lt;=DATE(2026,12,7),$E72&gt;=DATE(2026,12,1)),1,"")</f>
        <v/>
      </c>
      <c r="AZ72">
        <f>IF(AND($D72&lt;=DATE(2026,12,14),$E72&gt;=DATE(2026,12,8)),1,"")</f>
        <v/>
      </c>
      <c r="BA72">
        <f>IF(AND($D72&lt;=DATE(2026,12,21),$E72&gt;=DATE(2026,12,15)),1,"")</f>
        <v/>
      </c>
      <c r="BB72">
        <f>IF(AND($D72&lt;=DATE(2026,12,31),$E72&gt;=DATE(2026,12,22)),1,"")</f>
        <v/>
      </c>
    </row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>
      <c r="F81">
        <f>IF(OR(D81="",E81=""),"",E81-D81+1)</f>
        <v/>
      </c>
      <c r="G81">
        <f>IF(AND($D81&lt;=DATE(2026,1,7),$E81&gt;=DATE(2026,1,1)),1,"")</f>
        <v/>
      </c>
      <c r="H81">
        <f>IF(AND($D81&lt;=DATE(2026,1,14),$E81&gt;=DATE(2026,1,8)),1,"")</f>
        <v/>
      </c>
      <c r="I81">
        <f>IF(AND($D81&lt;=DATE(2026,1,21),$E81&gt;=DATE(2026,1,15)),1,"")</f>
        <v/>
      </c>
      <c r="J81">
        <f>IF(AND($D81&lt;=DATE(2026,1,31),$E81&gt;=DATE(2026,1,22)),1,"")</f>
        <v/>
      </c>
      <c r="K81">
        <f>IF(AND($D81&lt;=DATE(2026,2,7),$E81&gt;=DATE(2026,2,1)),1,"")</f>
        <v/>
      </c>
      <c r="L81">
        <f>IF(AND($D81&lt;=DATE(2026,2,14),$E81&gt;=DATE(2026,2,8)),1,"")</f>
        <v/>
      </c>
      <c r="M81">
        <f>IF(AND($D81&lt;=DATE(2026,2,21),$E81&gt;=DATE(2026,2,15)),1,"")</f>
        <v/>
      </c>
      <c r="N81">
        <f>IF(AND($D81&lt;=DATE(2026,2,28),$E81&gt;=DATE(2026,2,22)),1,"")</f>
        <v/>
      </c>
      <c r="O81">
        <f>IF(AND($D81&lt;=DATE(2026,3,7),$E81&gt;=DATE(2026,3,1)),1,"")</f>
        <v/>
      </c>
      <c r="P81">
        <f>IF(AND($D81&lt;=DATE(2026,3,14),$E81&gt;=DATE(2026,3,8)),1,"")</f>
        <v/>
      </c>
      <c r="Q81">
        <f>IF(AND($D81&lt;=DATE(2026,3,21),$E81&gt;=DATE(2026,3,15)),1,"")</f>
        <v/>
      </c>
      <c r="R81">
        <f>IF(AND($D81&lt;=DATE(2026,3,31),$E81&gt;=DATE(2026,3,22)),1,"")</f>
        <v/>
      </c>
      <c r="S81">
        <f>IF(AND($D81&lt;=DATE(2026,4,7),$E81&gt;=DATE(2026,4,1)),1,"")</f>
        <v/>
      </c>
      <c r="T81">
        <f>IF(AND($D81&lt;=DATE(2026,4,14),$E81&gt;=DATE(2026,4,8)),1,"")</f>
        <v/>
      </c>
      <c r="U81">
        <f>IF(AND($D81&lt;=DATE(2026,4,21),$E81&gt;=DATE(2026,4,15)),1,"")</f>
        <v/>
      </c>
      <c r="V81">
        <f>IF(AND($D81&lt;=DATE(2026,4,30),$E81&gt;=DATE(2026,4,22)),1,"")</f>
        <v/>
      </c>
      <c r="W81">
        <f>IF(AND($D81&lt;=DATE(2026,5,7),$E81&gt;=DATE(2026,5,1)),1,"")</f>
        <v/>
      </c>
      <c r="X81">
        <f>IF(AND($D81&lt;=DATE(2026,5,14),$E81&gt;=DATE(2026,5,8)),1,"")</f>
        <v/>
      </c>
      <c r="Y81">
        <f>IF(AND($D81&lt;=DATE(2026,5,21),$E81&gt;=DATE(2026,5,15)),1,"")</f>
        <v/>
      </c>
      <c r="Z81">
        <f>IF(AND($D81&lt;=DATE(2026,5,31),$E81&gt;=DATE(2026,5,22)),1,"")</f>
        <v/>
      </c>
      <c r="AA81">
        <f>IF(AND($D81&lt;=DATE(2026,6,7),$E81&gt;=DATE(2026,6,1)),1,"")</f>
        <v/>
      </c>
      <c r="AB81">
        <f>IF(AND($D81&lt;=DATE(2026,6,14),$E81&gt;=DATE(2026,6,8)),1,"")</f>
        <v/>
      </c>
      <c r="AC81">
        <f>IF(AND($D81&lt;=DATE(2026,6,21),$E81&gt;=DATE(2026,6,15)),1,"")</f>
        <v/>
      </c>
      <c r="AD81">
        <f>IF(AND($D81&lt;=DATE(2026,6,30),$E81&gt;=DATE(2026,6,22)),1,"")</f>
        <v/>
      </c>
      <c r="AE81">
        <f>IF(AND($D81&lt;=DATE(2026,7,7),$E81&gt;=DATE(2026,7,1)),1,"")</f>
        <v/>
      </c>
      <c r="AF81">
        <f>IF(AND($D81&lt;=DATE(2026,7,14),$E81&gt;=DATE(2026,7,8)),1,"")</f>
        <v/>
      </c>
      <c r="AG81">
        <f>IF(AND($D81&lt;=DATE(2026,7,21),$E81&gt;=DATE(2026,7,15)),1,"")</f>
        <v/>
      </c>
      <c r="AH81">
        <f>IF(AND($D81&lt;=DATE(2026,7,31),$E81&gt;=DATE(2026,7,22)),1,"")</f>
        <v/>
      </c>
      <c r="AI81">
        <f>IF(AND($D81&lt;=DATE(2026,8,7),$E81&gt;=DATE(2026,8,1)),1,"")</f>
        <v/>
      </c>
      <c r="AJ81">
        <f>IF(AND($D81&lt;=DATE(2026,8,14),$E81&gt;=DATE(2026,8,8)),1,"")</f>
        <v/>
      </c>
      <c r="AK81">
        <f>IF(AND($D81&lt;=DATE(2026,8,21),$E81&gt;=DATE(2026,8,15)),1,"")</f>
        <v/>
      </c>
      <c r="AL81">
        <f>IF(AND($D81&lt;=DATE(2026,8,31),$E81&gt;=DATE(2026,8,22)),1,"")</f>
        <v/>
      </c>
      <c r="AM81">
        <f>IF(AND($D81&lt;=DATE(2026,9,7),$E81&gt;=DATE(2026,9,1)),1,"")</f>
        <v/>
      </c>
      <c r="AN81">
        <f>IF(AND($D81&lt;=DATE(2026,9,14),$E81&gt;=DATE(2026,9,8)),1,"")</f>
        <v/>
      </c>
      <c r="AO81">
        <f>IF(AND($D81&lt;=DATE(2026,9,21),$E81&gt;=DATE(2026,9,15)),1,"")</f>
        <v/>
      </c>
      <c r="AP81">
        <f>IF(AND($D81&lt;=DATE(2026,9,30),$E81&gt;=DATE(2026,9,22)),1,"")</f>
        <v/>
      </c>
      <c r="AQ81">
        <f>IF(AND($D81&lt;=DATE(2026,10,7),$E81&gt;=DATE(2026,10,1)),1,"")</f>
        <v/>
      </c>
      <c r="AR81">
        <f>IF(AND($D81&lt;=DATE(2026,10,14),$E81&gt;=DATE(2026,10,8)),1,"")</f>
        <v/>
      </c>
      <c r="AS81">
        <f>IF(AND($D81&lt;=DATE(2026,10,21),$E81&gt;=DATE(2026,10,15)),1,"")</f>
        <v/>
      </c>
      <c r="AT81">
        <f>IF(AND($D81&lt;=DATE(2026,10,31),$E81&gt;=DATE(2026,10,22)),1,"")</f>
        <v/>
      </c>
      <c r="AU81">
        <f>IF(AND($D81&lt;=DATE(2026,11,7),$E81&gt;=DATE(2026,11,1)),1,"")</f>
        <v/>
      </c>
      <c r="AV81">
        <f>IF(AND($D81&lt;=DATE(2026,11,14),$E81&gt;=DATE(2026,11,8)),1,"")</f>
        <v/>
      </c>
      <c r="AW81">
        <f>IF(AND($D81&lt;=DATE(2026,11,21),$E81&gt;=DATE(2026,11,15)),1,"")</f>
        <v/>
      </c>
      <c r="AX81">
        <f>IF(AND($D81&lt;=DATE(2026,11,30),$E81&gt;=DATE(2026,11,22)),1,"")</f>
        <v/>
      </c>
      <c r="AY81">
        <f>IF(AND($D81&lt;=DATE(2026,12,7),$E81&gt;=DATE(2026,12,1)),1,"")</f>
        <v/>
      </c>
      <c r="AZ81">
        <f>IF(AND($D81&lt;=DATE(2026,12,14),$E81&gt;=DATE(2026,12,8)),1,"")</f>
        <v/>
      </c>
      <c r="BA81">
        <f>IF(AND($D81&lt;=DATE(2026,12,21),$E81&gt;=DATE(2026,12,15)),1,"")</f>
        <v/>
      </c>
      <c r="BB81">
        <f>IF(AND($D81&lt;=DATE(2026,12,31),$E81&gt;=DATE(2026,12,22)),1,"")</f>
        <v/>
      </c>
    </row>
    <row r="82" ht="15" customHeight="1">
      <c r="F82">
        <f>IF(OR(D82="",E82=""),"",E82-D82+1)</f>
        <v/>
      </c>
      <c r="G82">
        <f>IF(AND($D82&lt;=DATE(2026,1,7),$E82&gt;=DATE(2026,1,1)),1,"")</f>
        <v/>
      </c>
      <c r="H82">
        <f>IF(AND($D82&lt;=DATE(2026,1,14),$E82&gt;=DATE(2026,1,8)),1,"")</f>
        <v/>
      </c>
      <c r="I82">
        <f>IF(AND($D82&lt;=DATE(2026,1,21),$E82&gt;=DATE(2026,1,15)),1,"")</f>
        <v/>
      </c>
      <c r="J82">
        <f>IF(AND($D82&lt;=DATE(2026,1,31),$E82&gt;=DATE(2026,1,22)),1,"")</f>
        <v/>
      </c>
      <c r="K82">
        <f>IF(AND($D82&lt;=DATE(2026,2,7),$E82&gt;=DATE(2026,2,1)),1,"")</f>
        <v/>
      </c>
      <c r="L82">
        <f>IF(AND($D82&lt;=DATE(2026,2,14),$E82&gt;=DATE(2026,2,8)),1,"")</f>
        <v/>
      </c>
      <c r="M82">
        <f>IF(AND($D82&lt;=DATE(2026,2,21),$E82&gt;=DATE(2026,2,15)),1,"")</f>
        <v/>
      </c>
      <c r="N82">
        <f>IF(AND($D82&lt;=DATE(2026,2,28),$E82&gt;=DATE(2026,2,22)),1,"")</f>
        <v/>
      </c>
      <c r="O82">
        <f>IF(AND($D82&lt;=DATE(2026,3,7),$E82&gt;=DATE(2026,3,1)),1,"")</f>
        <v/>
      </c>
      <c r="P82">
        <f>IF(AND($D82&lt;=DATE(2026,3,14),$E82&gt;=DATE(2026,3,8)),1,"")</f>
        <v/>
      </c>
      <c r="Q82">
        <f>IF(AND($D82&lt;=DATE(2026,3,21),$E82&gt;=DATE(2026,3,15)),1,"")</f>
        <v/>
      </c>
      <c r="R82">
        <f>IF(AND($D82&lt;=DATE(2026,3,31),$E82&gt;=DATE(2026,3,22)),1,"")</f>
        <v/>
      </c>
      <c r="S82">
        <f>IF(AND($D82&lt;=DATE(2026,4,7),$E82&gt;=DATE(2026,4,1)),1,"")</f>
        <v/>
      </c>
      <c r="T82">
        <f>IF(AND($D82&lt;=DATE(2026,4,14),$E82&gt;=DATE(2026,4,8)),1,"")</f>
        <v/>
      </c>
      <c r="U82">
        <f>IF(AND($D82&lt;=DATE(2026,4,21),$E82&gt;=DATE(2026,4,15)),1,"")</f>
        <v/>
      </c>
      <c r="V82">
        <f>IF(AND($D82&lt;=DATE(2026,4,30),$E82&gt;=DATE(2026,4,22)),1,"")</f>
        <v/>
      </c>
      <c r="W82">
        <f>IF(AND($D82&lt;=DATE(2026,5,7),$E82&gt;=DATE(2026,5,1)),1,"")</f>
        <v/>
      </c>
      <c r="X82">
        <f>IF(AND($D82&lt;=DATE(2026,5,14),$E82&gt;=DATE(2026,5,8)),1,"")</f>
        <v/>
      </c>
      <c r="Y82">
        <f>IF(AND($D82&lt;=DATE(2026,5,21),$E82&gt;=DATE(2026,5,15)),1,"")</f>
        <v/>
      </c>
      <c r="Z82">
        <f>IF(AND($D82&lt;=DATE(2026,5,31),$E82&gt;=DATE(2026,5,22)),1,"")</f>
        <v/>
      </c>
      <c r="AA82">
        <f>IF(AND($D82&lt;=DATE(2026,6,7),$E82&gt;=DATE(2026,6,1)),1,"")</f>
        <v/>
      </c>
      <c r="AB82">
        <f>IF(AND($D82&lt;=DATE(2026,6,14),$E82&gt;=DATE(2026,6,8)),1,"")</f>
        <v/>
      </c>
      <c r="AC82">
        <f>IF(AND($D82&lt;=DATE(2026,6,21),$E82&gt;=DATE(2026,6,15)),1,"")</f>
        <v/>
      </c>
      <c r="AD82">
        <f>IF(AND($D82&lt;=DATE(2026,6,30),$E82&gt;=DATE(2026,6,22)),1,"")</f>
        <v/>
      </c>
      <c r="AE82">
        <f>IF(AND($D82&lt;=DATE(2026,7,7),$E82&gt;=DATE(2026,7,1)),1,"")</f>
        <v/>
      </c>
      <c r="AF82">
        <f>IF(AND($D82&lt;=DATE(2026,7,14),$E82&gt;=DATE(2026,7,8)),1,"")</f>
        <v/>
      </c>
      <c r="AG82">
        <f>IF(AND($D82&lt;=DATE(2026,7,21),$E82&gt;=DATE(2026,7,15)),1,"")</f>
        <v/>
      </c>
      <c r="AH82">
        <f>IF(AND($D82&lt;=DATE(2026,7,31),$E82&gt;=DATE(2026,7,22)),1,"")</f>
        <v/>
      </c>
      <c r="AI82">
        <f>IF(AND($D82&lt;=DATE(2026,8,7),$E82&gt;=DATE(2026,8,1)),1,"")</f>
        <v/>
      </c>
      <c r="AJ82">
        <f>IF(AND($D82&lt;=DATE(2026,8,14),$E82&gt;=DATE(2026,8,8)),1,"")</f>
        <v/>
      </c>
      <c r="AK82">
        <f>IF(AND($D82&lt;=DATE(2026,8,21),$E82&gt;=DATE(2026,8,15)),1,"")</f>
        <v/>
      </c>
      <c r="AL82">
        <f>IF(AND($D82&lt;=DATE(2026,8,31),$E82&gt;=DATE(2026,8,22)),1,"")</f>
        <v/>
      </c>
      <c r="AM82">
        <f>IF(AND($D82&lt;=DATE(2026,9,7),$E82&gt;=DATE(2026,9,1)),1,"")</f>
        <v/>
      </c>
      <c r="AN82">
        <f>IF(AND($D82&lt;=DATE(2026,9,14),$E82&gt;=DATE(2026,9,8)),1,"")</f>
        <v/>
      </c>
      <c r="AO82">
        <f>IF(AND($D82&lt;=DATE(2026,9,21),$E82&gt;=DATE(2026,9,15)),1,"")</f>
        <v/>
      </c>
      <c r="AP82">
        <f>IF(AND($D82&lt;=DATE(2026,9,30),$E82&gt;=DATE(2026,9,22)),1,"")</f>
        <v/>
      </c>
      <c r="AQ82">
        <f>IF(AND($D82&lt;=DATE(2026,10,7),$E82&gt;=DATE(2026,10,1)),1,"")</f>
        <v/>
      </c>
      <c r="AR82">
        <f>IF(AND($D82&lt;=DATE(2026,10,14),$E82&gt;=DATE(2026,10,8)),1,"")</f>
        <v/>
      </c>
      <c r="AS82">
        <f>IF(AND($D82&lt;=DATE(2026,10,21),$E82&gt;=DATE(2026,10,15)),1,"")</f>
        <v/>
      </c>
      <c r="AT82">
        <f>IF(AND($D82&lt;=DATE(2026,10,31),$E82&gt;=DATE(2026,10,22)),1,"")</f>
        <v/>
      </c>
      <c r="AU82">
        <f>IF(AND($D82&lt;=DATE(2026,11,7),$E82&gt;=DATE(2026,11,1)),1,"")</f>
        <v/>
      </c>
      <c r="AV82">
        <f>IF(AND($D82&lt;=DATE(2026,11,14),$E82&gt;=DATE(2026,11,8)),1,"")</f>
        <v/>
      </c>
      <c r="AW82">
        <f>IF(AND($D82&lt;=DATE(2026,11,21),$E82&gt;=DATE(2026,11,15)),1,"")</f>
        <v/>
      </c>
      <c r="AX82">
        <f>IF(AND($D82&lt;=DATE(2026,11,30),$E82&gt;=DATE(2026,11,22)),1,"")</f>
        <v/>
      </c>
      <c r="AY82">
        <f>IF(AND($D82&lt;=DATE(2026,12,7),$E82&gt;=DATE(2026,12,1)),1,"")</f>
        <v/>
      </c>
      <c r="AZ82">
        <f>IF(AND($D82&lt;=DATE(2026,12,14),$E82&gt;=DATE(2026,12,8)),1,"")</f>
        <v/>
      </c>
      <c r="BA82">
        <f>IF(AND($D82&lt;=DATE(2026,12,21),$E82&gt;=DATE(2026,12,15)),1,"")</f>
        <v/>
      </c>
      <c r="BB82">
        <f>IF(AND($D82&lt;=DATE(2026,12,31),$E82&gt;=DATE(2026,12,22)),1,"")</f>
        <v/>
      </c>
    </row>
    <row r="83" ht="15" customHeight="1">
      <c r="F83">
        <f>IF(OR(D83="",E83=""),"",E83-D83+1)</f>
        <v/>
      </c>
      <c r="G83">
        <f>IF(AND($D83&lt;=DATE(2026,1,7),$E83&gt;=DATE(2026,1,1)),1,"")</f>
        <v/>
      </c>
      <c r="H83">
        <f>IF(AND($D83&lt;=DATE(2026,1,14),$E83&gt;=DATE(2026,1,8)),1,"")</f>
        <v/>
      </c>
      <c r="I83">
        <f>IF(AND($D83&lt;=DATE(2026,1,21),$E83&gt;=DATE(2026,1,15)),1,"")</f>
        <v/>
      </c>
      <c r="J83">
        <f>IF(AND($D83&lt;=DATE(2026,1,31),$E83&gt;=DATE(2026,1,22)),1,"")</f>
        <v/>
      </c>
      <c r="K83">
        <f>IF(AND($D83&lt;=DATE(2026,2,7),$E83&gt;=DATE(2026,2,1)),1,"")</f>
        <v/>
      </c>
      <c r="L83">
        <f>IF(AND($D83&lt;=DATE(2026,2,14),$E83&gt;=DATE(2026,2,8)),1,"")</f>
        <v/>
      </c>
      <c r="M83">
        <f>IF(AND($D83&lt;=DATE(2026,2,21),$E83&gt;=DATE(2026,2,15)),1,"")</f>
        <v/>
      </c>
      <c r="N83">
        <f>IF(AND($D83&lt;=DATE(2026,2,28),$E83&gt;=DATE(2026,2,22)),1,"")</f>
        <v/>
      </c>
      <c r="O83">
        <f>IF(AND($D83&lt;=DATE(2026,3,7),$E83&gt;=DATE(2026,3,1)),1,"")</f>
        <v/>
      </c>
      <c r="P83">
        <f>IF(AND($D83&lt;=DATE(2026,3,14),$E83&gt;=DATE(2026,3,8)),1,"")</f>
        <v/>
      </c>
      <c r="Q83">
        <f>IF(AND($D83&lt;=DATE(2026,3,21),$E83&gt;=DATE(2026,3,15)),1,"")</f>
        <v/>
      </c>
      <c r="R83">
        <f>IF(AND($D83&lt;=DATE(2026,3,31),$E83&gt;=DATE(2026,3,22)),1,"")</f>
        <v/>
      </c>
      <c r="S83">
        <f>IF(AND($D83&lt;=DATE(2026,4,7),$E83&gt;=DATE(2026,4,1)),1,"")</f>
        <v/>
      </c>
      <c r="T83">
        <f>IF(AND($D83&lt;=DATE(2026,4,14),$E83&gt;=DATE(2026,4,8)),1,"")</f>
        <v/>
      </c>
      <c r="U83">
        <f>IF(AND($D83&lt;=DATE(2026,4,21),$E83&gt;=DATE(2026,4,15)),1,"")</f>
        <v/>
      </c>
      <c r="V83">
        <f>IF(AND($D83&lt;=DATE(2026,4,30),$E83&gt;=DATE(2026,4,22)),1,"")</f>
        <v/>
      </c>
      <c r="W83">
        <f>IF(AND($D83&lt;=DATE(2026,5,7),$E83&gt;=DATE(2026,5,1)),1,"")</f>
        <v/>
      </c>
      <c r="X83">
        <f>IF(AND($D83&lt;=DATE(2026,5,14),$E83&gt;=DATE(2026,5,8)),1,"")</f>
        <v/>
      </c>
      <c r="Y83">
        <f>IF(AND($D83&lt;=DATE(2026,5,21),$E83&gt;=DATE(2026,5,15)),1,"")</f>
        <v/>
      </c>
      <c r="Z83">
        <f>IF(AND($D83&lt;=DATE(2026,5,31),$E83&gt;=DATE(2026,5,22)),1,"")</f>
        <v/>
      </c>
      <c r="AA83">
        <f>IF(AND($D83&lt;=DATE(2026,6,7),$E83&gt;=DATE(2026,6,1)),1,"")</f>
        <v/>
      </c>
      <c r="AB83">
        <f>IF(AND($D83&lt;=DATE(2026,6,14),$E83&gt;=DATE(2026,6,8)),1,"")</f>
        <v/>
      </c>
      <c r="AC83">
        <f>IF(AND($D83&lt;=DATE(2026,6,21),$E83&gt;=DATE(2026,6,15)),1,"")</f>
        <v/>
      </c>
      <c r="AD83">
        <f>IF(AND($D83&lt;=DATE(2026,6,30),$E83&gt;=DATE(2026,6,22)),1,"")</f>
        <v/>
      </c>
      <c r="AE83">
        <f>IF(AND($D83&lt;=DATE(2026,7,7),$E83&gt;=DATE(2026,7,1)),1,"")</f>
        <v/>
      </c>
      <c r="AF83">
        <f>IF(AND($D83&lt;=DATE(2026,7,14),$E83&gt;=DATE(2026,7,8)),1,"")</f>
        <v/>
      </c>
      <c r="AG83">
        <f>IF(AND($D83&lt;=DATE(2026,7,21),$E83&gt;=DATE(2026,7,15)),1,"")</f>
        <v/>
      </c>
      <c r="AH83">
        <f>IF(AND($D83&lt;=DATE(2026,7,31),$E83&gt;=DATE(2026,7,22)),1,"")</f>
        <v/>
      </c>
      <c r="AI83">
        <f>IF(AND($D83&lt;=DATE(2026,8,7),$E83&gt;=DATE(2026,8,1)),1,"")</f>
        <v/>
      </c>
      <c r="AJ83">
        <f>IF(AND($D83&lt;=DATE(2026,8,14),$E83&gt;=DATE(2026,8,8)),1,"")</f>
        <v/>
      </c>
      <c r="AK83">
        <f>IF(AND($D83&lt;=DATE(2026,8,21),$E83&gt;=DATE(2026,8,15)),1,"")</f>
        <v/>
      </c>
      <c r="AL83">
        <f>IF(AND($D83&lt;=DATE(2026,8,31),$E83&gt;=DATE(2026,8,22)),1,"")</f>
        <v/>
      </c>
      <c r="AM83">
        <f>IF(AND($D83&lt;=DATE(2026,9,7),$E83&gt;=DATE(2026,9,1)),1,"")</f>
        <v/>
      </c>
      <c r="AN83">
        <f>IF(AND($D83&lt;=DATE(2026,9,14),$E83&gt;=DATE(2026,9,8)),1,"")</f>
        <v/>
      </c>
      <c r="AO83">
        <f>IF(AND($D83&lt;=DATE(2026,9,21),$E83&gt;=DATE(2026,9,15)),1,"")</f>
        <v/>
      </c>
      <c r="AP83">
        <f>IF(AND($D83&lt;=DATE(2026,9,30),$E83&gt;=DATE(2026,9,22)),1,"")</f>
        <v/>
      </c>
      <c r="AQ83">
        <f>IF(AND($D83&lt;=DATE(2026,10,7),$E83&gt;=DATE(2026,10,1)),1,"")</f>
        <v/>
      </c>
      <c r="AR83">
        <f>IF(AND($D83&lt;=DATE(2026,10,14),$E83&gt;=DATE(2026,10,8)),1,"")</f>
        <v/>
      </c>
      <c r="AS83">
        <f>IF(AND($D83&lt;=DATE(2026,10,21),$E83&gt;=DATE(2026,10,15)),1,"")</f>
        <v/>
      </c>
      <c r="AT83">
        <f>IF(AND($D83&lt;=DATE(2026,10,31),$E83&gt;=DATE(2026,10,22)),1,"")</f>
        <v/>
      </c>
      <c r="AU83">
        <f>IF(AND($D83&lt;=DATE(2026,11,7),$E83&gt;=DATE(2026,11,1)),1,"")</f>
        <v/>
      </c>
      <c r="AV83">
        <f>IF(AND($D83&lt;=DATE(2026,11,14),$E83&gt;=DATE(2026,11,8)),1,"")</f>
        <v/>
      </c>
      <c r="AW83">
        <f>IF(AND($D83&lt;=DATE(2026,11,21),$E83&gt;=DATE(2026,11,15)),1,"")</f>
        <v/>
      </c>
      <c r="AX83">
        <f>IF(AND($D83&lt;=DATE(2026,11,30),$E83&gt;=DATE(2026,11,22)),1,"")</f>
        <v/>
      </c>
      <c r="AY83">
        <f>IF(AND($D83&lt;=DATE(2026,12,7),$E83&gt;=DATE(2026,12,1)),1,"")</f>
        <v/>
      </c>
      <c r="AZ83">
        <f>IF(AND($D83&lt;=DATE(2026,12,14),$E83&gt;=DATE(2026,12,8)),1,"")</f>
        <v/>
      </c>
      <c r="BA83">
        <f>IF(AND($D83&lt;=DATE(2026,12,21),$E83&gt;=DATE(2026,12,15)),1,"")</f>
        <v/>
      </c>
      <c r="BB83">
        <f>IF(AND($D83&lt;=DATE(2026,12,31),$E83&gt;=DATE(2026,12,22)),1,"")</f>
        <v/>
      </c>
    </row>
    <row r="84" ht="15" customHeight="1">
      <c r="F84">
        <f>IF(OR(D84="",E84=""),"",E84-D84+1)</f>
        <v/>
      </c>
      <c r="G84">
        <f>IF(AND($D84&lt;=DATE(2026,1,7),$E84&gt;=DATE(2026,1,1)),1,"")</f>
        <v/>
      </c>
      <c r="H84">
        <f>IF(AND($D84&lt;=DATE(2026,1,14),$E84&gt;=DATE(2026,1,8)),1,"")</f>
        <v/>
      </c>
      <c r="I84">
        <f>IF(AND($D84&lt;=DATE(2026,1,21),$E84&gt;=DATE(2026,1,15)),1,"")</f>
        <v/>
      </c>
      <c r="J84">
        <f>IF(AND($D84&lt;=DATE(2026,1,31),$E84&gt;=DATE(2026,1,22)),1,"")</f>
        <v/>
      </c>
      <c r="K84">
        <f>IF(AND($D84&lt;=DATE(2026,2,7),$E84&gt;=DATE(2026,2,1)),1,"")</f>
        <v/>
      </c>
      <c r="L84">
        <f>IF(AND($D84&lt;=DATE(2026,2,14),$E84&gt;=DATE(2026,2,8)),1,"")</f>
        <v/>
      </c>
      <c r="M84">
        <f>IF(AND($D84&lt;=DATE(2026,2,21),$E84&gt;=DATE(2026,2,15)),1,"")</f>
        <v/>
      </c>
      <c r="N84">
        <f>IF(AND($D84&lt;=DATE(2026,2,28),$E84&gt;=DATE(2026,2,22)),1,"")</f>
        <v/>
      </c>
      <c r="O84">
        <f>IF(AND($D84&lt;=DATE(2026,3,7),$E84&gt;=DATE(2026,3,1)),1,"")</f>
        <v/>
      </c>
      <c r="P84">
        <f>IF(AND($D84&lt;=DATE(2026,3,14),$E84&gt;=DATE(2026,3,8)),1,"")</f>
        <v/>
      </c>
      <c r="Q84">
        <f>IF(AND($D84&lt;=DATE(2026,3,21),$E84&gt;=DATE(2026,3,15)),1,"")</f>
        <v/>
      </c>
      <c r="R84">
        <f>IF(AND($D84&lt;=DATE(2026,3,31),$E84&gt;=DATE(2026,3,22)),1,"")</f>
        <v/>
      </c>
      <c r="S84">
        <f>IF(AND($D84&lt;=DATE(2026,4,7),$E84&gt;=DATE(2026,4,1)),1,"")</f>
        <v/>
      </c>
      <c r="T84">
        <f>IF(AND($D84&lt;=DATE(2026,4,14),$E84&gt;=DATE(2026,4,8)),1,"")</f>
        <v/>
      </c>
      <c r="U84">
        <f>IF(AND($D84&lt;=DATE(2026,4,21),$E84&gt;=DATE(2026,4,15)),1,"")</f>
        <v/>
      </c>
      <c r="V84">
        <f>IF(AND($D84&lt;=DATE(2026,4,30),$E84&gt;=DATE(2026,4,22)),1,"")</f>
        <v/>
      </c>
      <c r="W84">
        <f>IF(AND($D84&lt;=DATE(2026,5,7),$E84&gt;=DATE(2026,5,1)),1,"")</f>
        <v/>
      </c>
      <c r="X84">
        <f>IF(AND($D84&lt;=DATE(2026,5,14),$E84&gt;=DATE(2026,5,8)),1,"")</f>
        <v/>
      </c>
      <c r="Y84">
        <f>IF(AND($D84&lt;=DATE(2026,5,21),$E84&gt;=DATE(2026,5,15)),1,"")</f>
        <v/>
      </c>
      <c r="Z84">
        <f>IF(AND($D84&lt;=DATE(2026,5,31),$E84&gt;=DATE(2026,5,22)),1,"")</f>
        <v/>
      </c>
      <c r="AA84">
        <f>IF(AND($D84&lt;=DATE(2026,6,7),$E84&gt;=DATE(2026,6,1)),1,"")</f>
        <v/>
      </c>
      <c r="AB84">
        <f>IF(AND($D84&lt;=DATE(2026,6,14),$E84&gt;=DATE(2026,6,8)),1,"")</f>
        <v/>
      </c>
      <c r="AC84">
        <f>IF(AND($D84&lt;=DATE(2026,6,21),$E84&gt;=DATE(2026,6,15)),1,"")</f>
        <v/>
      </c>
      <c r="AD84">
        <f>IF(AND($D84&lt;=DATE(2026,6,30),$E84&gt;=DATE(2026,6,22)),1,"")</f>
        <v/>
      </c>
      <c r="AE84">
        <f>IF(AND($D84&lt;=DATE(2026,7,7),$E84&gt;=DATE(2026,7,1)),1,"")</f>
        <v/>
      </c>
      <c r="AF84">
        <f>IF(AND($D84&lt;=DATE(2026,7,14),$E84&gt;=DATE(2026,7,8)),1,"")</f>
        <v/>
      </c>
      <c r="AG84">
        <f>IF(AND($D84&lt;=DATE(2026,7,21),$E84&gt;=DATE(2026,7,15)),1,"")</f>
        <v/>
      </c>
      <c r="AH84">
        <f>IF(AND($D84&lt;=DATE(2026,7,31),$E84&gt;=DATE(2026,7,22)),1,"")</f>
        <v/>
      </c>
      <c r="AI84">
        <f>IF(AND($D84&lt;=DATE(2026,8,7),$E84&gt;=DATE(2026,8,1)),1,"")</f>
        <v/>
      </c>
      <c r="AJ84">
        <f>IF(AND($D84&lt;=DATE(2026,8,14),$E84&gt;=DATE(2026,8,8)),1,"")</f>
        <v/>
      </c>
      <c r="AK84">
        <f>IF(AND($D84&lt;=DATE(2026,8,21),$E84&gt;=DATE(2026,8,15)),1,"")</f>
        <v/>
      </c>
      <c r="AL84">
        <f>IF(AND($D84&lt;=DATE(2026,8,31),$E84&gt;=DATE(2026,8,22)),1,"")</f>
        <v/>
      </c>
      <c r="AM84">
        <f>IF(AND($D84&lt;=DATE(2026,9,7),$E84&gt;=DATE(2026,9,1)),1,"")</f>
        <v/>
      </c>
      <c r="AN84">
        <f>IF(AND($D84&lt;=DATE(2026,9,14),$E84&gt;=DATE(2026,9,8)),1,"")</f>
        <v/>
      </c>
      <c r="AO84">
        <f>IF(AND($D84&lt;=DATE(2026,9,21),$E84&gt;=DATE(2026,9,15)),1,"")</f>
        <v/>
      </c>
      <c r="AP84">
        <f>IF(AND($D84&lt;=DATE(2026,9,30),$E84&gt;=DATE(2026,9,22)),1,"")</f>
        <v/>
      </c>
      <c r="AQ84">
        <f>IF(AND($D84&lt;=DATE(2026,10,7),$E84&gt;=DATE(2026,10,1)),1,"")</f>
        <v/>
      </c>
      <c r="AR84">
        <f>IF(AND($D84&lt;=DATE(2026,10,14),$E84&gt;=DATE(2026,10,8)),1,"")</f>
        <v/>
      </c>
      <c r="AS84">
        <f>IF(AND($D84&lt;=DATE(2026,10,21),$E84&gt;=DATE(2026,10,15)),1,"")</f>
        <v/>
      </c>
      <c r="AT84">
        <f>IF(AND($D84&lt;=DATE(2026,10,31),$E84&gt;=DATE(2026,10,22)),1,"")</f>
        <v/>
      </c>
      <c r="AU84">
        <f>IF(AND($D84&lt;=DATE(2026,11,7),$E84&gt;=DATE(2026,11,1)),1,"")</f>
        <v/>
      </c>
      <c r="AV84">
        <f>IF(AND($D84&lt;=DATE(2026,11,14),$E84&gt;=DATE(2026,11,8)),1,"")</f>
        <v/>
      </c>
      <c r="AW84">
        <f>IF(AND($D84&lt;=DATE(2026,11,21),$E84&gt;=DATE(2026,11,15)),1,"")</f>
        <v/>
      </c>
      <c r="AX84">
        <f>IF(AND($D84&lt;=DATE(2026,11,30),$E84&gt;=DATE(2026,11,22)),1,"")</f>
        <v/>
      </c>
      <c r="AY84">
        <f>IF(AND($D84&lt;=DATE(2026,12,7),$E84&gt;=DATE(2026,12,1)),1,"")</f>
        <v/>
      </c>
      <c r="AZ84">
        <f>IF(AND($D84&lt;=DATE(2026,12,14),$E84&gt;=DATE(2026,12,8)),1,"")</f>
        <v/>
      </c>
      <c r="BA84">
        <f>IF(AND($D84&lt;=DATE(2026,12,21),$E84&gt;=DATE(2026,12,15)),1,"")</f>
        <v/>
      </c>
      <c r="BB84">
        <f>IF(AND($D84&lt;=DATE(2026,12,31),$E84&gt;=DATE(2026,12,22)),1,"")</f>
        <v/>
      </c>
    </row>
    <row r="85" ht="15" customHeight="1">
      <c r="F85">
        <f>IF(OR(D85="",E85=""),"",E85-D85+1)</f>
        <v/>
      </c>
      <c r="G85">
        <f>IF(AND($D85&lt;=DATE(2026,1,7),$E85&gt;=DATE(2026,1,1)),1,"")</f>
        <v/>
      </c>
      <c r="H85">
        <f>IF(AND($D85&lt;=DATE(2026,1,14),$E85&gt;=DATE(2026,1,8)),1,"")</f>
        <v/>
      </c>
      <c r="I85">
        <f>IF(AND($D85&lt;=DATE(2026,1,21),$E85&gt;=DATE(2026,1,15)),1,"")</f>
        <v/>
      </c>
      <c r="J85">
        <f>IF(AND($D85&lt;=DATE(2026,1,31),$E85&gt;=DATE(2026,1,22)),1,"")</f>
        <v/>
      </c>
      <c r="K85">
        <f>IF(AND($D85&lt;=DATE(2026,2,7),$E85&gt;=DATE(2026,2,1)),1,"")</f>
        <v/>
      </c>
      <c r="L85">
        <f>IF(AND($D85&lt;=DATE(2026,2,14),$E85&gt;=DATE(2026,2,8)),1,"")</f>
        <v/>
      </c>
      <c r="M85">
        <f>IF(AND($D85&lt;=DATE(2026,2,21),$E85&gt;=DATE(2026,2,15)),1,"")</f>
        <v/>
      </c>
      <c r="N85">
        <f>IF(AND($D85&lt;=DATE(2026,2,28),$E85&gt;=DATE(2026,2,22)),1,"")</f>
        <v/>
      </c>
      <c r="O85">
        <f>IF(AND($D85&lt;=DATE(2026,3,7),$E85&gt;=DATE(2026,3,1)),1,"")</f>
        <v/>
      </c>
      <c r="P85">
        <f>IF(AND($D85&lt;=DATE(2026,3,14),$E85&gt;=DATE(2026,3,8)),1,"")</f>
        <v/>
      </c>
      <c r="Q85">
        <f>IF(AND($D85&lt;=DATE(2026,3,21),$E85&gt;=DATE(2026,3,15)),1,"")</f>
        <v/>
      </c>
      <c r="R85">
        <f>IF(AND($D85&lt;=DATE(2026,3,31),$E85&gt;=DATE(2026,3,22)),1,"")</f>
        <v/>
      </c>
      <c r="S85">
        <f>IF(AND($D85&lt;=DATE(2026,4,7),$E85&gt;=DATE(2026,4,1)),1,"")</f>
        <v/>
      </c>
      <c r="T85">
        <f>IF(AND($D85&lt;=DATE(2026,4,14),$E85&gt;=DATE(2026,4,8)),1,"")</f>
        <v/>
      </c>
      <c r="U85">
        <f>IF(AND($D85&lt;=DATE(2026,4,21),$E85&gt;=DATE(2026,4,15)),1,"")</f>
        <v/>
      </c>
      <c r="V85">
        <f>IF(AND($D85&lt;=DATE(2026,4,30),$E85&gt;=DATE(2026,4,22)),1,"")</f>
        <v/>
      </c>
      <c r="W85">
        <f>IF(AND($D85&lt;=DATE(2026,5,7),$E85&gt;=DATE(2026,5,1)),1,"")</f>
        <v/>
      </c>
      <c r="X85">
        <f>IF(AND($D85&lt;=DATE(2026,5,14),$E85&gt;=DATE(2026,5,8)),1,"")</f>
        <v/>
      </c>
      <c r="Y85">
        <f>IF(AND($D85&lt;=DATE(2026,5,21),$E85&gt;=DATE(2026,5,15)),1,"")</f>
        <v/>
      </c>
      <c r="Z85">
        <f>IF(AND($D85&lt;=DATE(2026,5,31),$E85&gt;=DATE(2026,5,22)),1,"")</f>
        <v/>
      </c>
      <c r="AA85">
        <f>IF(AND($D85&lt;=DATE(2026,6,7),$E85&gt;=DATE(2026,6,1)),1,"")</f>
        <v/>
      </c>
      <c r="AB85">
        <f>IF(AND($D85&lt;=DATE(2026,6,14),$E85&gt;=DATE(2026,6,8)),1,"")</f>
        <v/>
      </c>
      <c r="AC85">
        <f>IF(AND($D85&lt;=DATE(2026,6,21),$E85&gt;=DATE(2026,6,15)),1,"")</f>
        <v/>
      </c>
      <c r="AD85">
        <f>IF(AND($D85&lt;=DATE(2026,6,30),$E85&gt;=DATE(2026,6,22)),1,"")</f>
        <v/>
      </c>
      <c r="AE85">
        <f>IF(AND($D85&lt;=DATE(2026,7,7),$E85&gt;=DATE(2026,7,1)),1,"")</f>
        <v/>
      </c>
      <c r="AF85">
        <f>IF(AND($D85&lt;=DATE(2026,7,14),$E85&gt;=DATE(2026,7,8)),1,"")</f>
        <v/>
      </c>
      <c r="AG85">
        <f>IF(AND($D85&lt;=DATE(2026,7,21),$E85&gt;=DATE(2026,7,15)),1,"")</f>
        <v/>
      </c>
      <c r="AH85">
        <f>IF(AND($D85&lt;=DATE(2026,7,31),$E85&gt;=DATE(2026,7,22)),1,"")</f>
        <v/>
      </c>
      <c r="AI85">
        <f>IF(AND($D85&lt;=DATE(2026,8,7),$E85&gt;=DATE(2026,8,1)),1,"")</f>
        <v/>
      </c>
      <c r="AJ85">
        <f>IF(AND($D85&lt;=DATE(2026,8,14),$E85&gt;=DATE(2026,8,8)),1,"")</f>
        <v/>
      </c>
      <c r="AK85">
        <f>IF(AND($D85&lt;=DATE(2026,8,21),$E85&gt;=DATE(2026,8,15)),1,"")</f>
        <v/>
      </c>
      <c r="AL85">
        <f>IF(AND($D85&lt;=DATE(2026,8,31),$E85&gt;=DATE(2026,8,22)),1,"")</f>
        <v/>
      </c>
      <c r="AM85">
        <f>IF(AND($D85&lt;=DATE(2026,9,7),$E85&gt;=DATE(2026,9,1)),1,"")</f>
        <v/>
      </c>
      <c r="AN85">
        <f>IF(AND($D85&lt;=DATE(2026,9,14),$E85&gt;=DATE(2026,9,8)),1,"")</f>
        <v/>
      </c>
      <c r="AO85">
        <f>IF(AND($D85&lt;=DATE(2026,9,21),$E85&gt;=DATE(2026,9,15)),1,"")</f>
        <v/>
      </c>
      <c r="AP85">
        <f>IF(AND($D85&lt;=DATE(2026,9,30),$E85&gt;=DATE(2026,9,22)),1,"")</f>
        <v/>
      </c>
      <c r="AQ85">
        <f>IF(AND($D85&lt;=DATE(2026,10,7),$E85&gt;=DATE(2026,10,1)),1,"")</f>
        <v/>
      </c>
      <c r="AR85">
        <f>IF(AND($D85&lt;=DATE(2026,10,14),$E85&gt;=DATE(2026,10,8)),1,"")</f>
        <v/>
      </c>
      <c r="AS85">
        <f>IF(AND($D85&lt;=DATE(2026,10,21),$E85&gt;=DATE(2026,10,15)),1,"")</f>
        <v/>
      </c>
      <c r="AT85">
        <f>IF(AND($D85&lt;=DATE(2026,10,31),$E85&gt;=DATE(2026,10,22)),1,"")</f>
        <v/>
      </c>
      <c r="AU85">
        <f>IF(AND($D85&lt;=DATE(2026,11,7),$E85&gt;=DATE(2026,11,1)),1,"")</f>
        <v/>
      </c>
      <c r="AV85">
        <f>IF(AND($D85&lt;=DATE(2026,11,14),$E85&gt;=DATE(2026,11,8)),1,"")</f>
        <v/>
      </c>
      <c r="AW85">
        <f>IF(AND($D85&lt;=DATE(2026,11,21),$E85&gt;=DATE(2026,11,15)),1,"")</f>
        <v/>
      </c>
      <c r="AX85">
        <f>IF(AND($D85&lt;=DATE(2026,11,30),$E85&gt;=DATE(2026,11,22)),1,"")</f>
        <v/>
      </c>
      <c r="AY85">
        <f>IF(AND($D85&lt;=DATE(2026,12,7),$E85&gt;=DATE(2026,12,1)),1,"")</f>
        <v/>
      </c>
      <c r="AZ85">
        <f>IF(AND($D85&lt;=DATE(2026,12,14),$E85&gt;=DATE(2026,12,8)),1,"")</f>
        <v/>
      </c>
      <c r="BA85">
        <f>IF(AND($D85&lt;=DATE(2026,12,21),$E85&gt;=DATE(2026,12,15)),1,"")</f>
        <v/>
      </c>
      <c r="BB85">
        <f>IF(AND($D85&lt;=DATE(2026,12,31),$E85&gt;=DATE(2026,12,22)),1,"")</f>
        <v/>
      </c>
    </row>
    <row r="86" ht="15" customHeight="1">
      <c r="F86">
        <f>IF(OR(D86="",E86=""),"",E86-D86+1)</f>
        <v/>
      </c>
      <c r="G86">
        <f>IF(AND($D86&lt;=DATE(2026,1,7),$E86&gt;=DATE(2026,1,1)),1,"")</f>
        <v/>
      </c>
      <c r="H86">
        <f>IF(AND($D86&lt;=DATE(2026,1,14),$E86&gt;=DATE(2026,1,8)),1,"")</f>
        <v/>
      </c>
      <c r="I86">
        <f>IF(AND($D86&lt;=DATE(2026,1,21),$E86&gt;=DATE(2026,1,15)),1,"")</f>
        <v/>
      </c>
      <c r="J86">
        <f>IF(AND($D86&lt;=DATE(2026,1,31),$E86&gt;=DATE(2026,1,22)),1,"")</f>
        <v/>
      </c>
      <c r="K86">
        <f>IF(AND($D86&lt;=DATE(2026,2,7),$E86&gt;=DATE(2026,2,1)),1,"")</f>
        <v/>
      </c>
      <c r="L86">
        <f>IF(AND($D86&lt;=DATE(2026,2,14),$E86&gt;=DATE(2026,2,8)),1,"")</f>
        <v/>
      </c>
      <c r="M86">
        <f>IF(AND($D86&lt;=DATE(2026,2,21),$E86&gt;=DATE(2026,2,15)),1,"")</f>
        <v/>
      </c>
      <c r="N86">
        <f>IF(AND($D86&lt;=DATE(2026,2,28),$E86&gt;=DATE(2026,2,22)),1,"")</f>
        <v/>
      </c>
      <c r="O86">
        <f>IF(AND($D86&lt;=DATE(2026,3,7),$E86&gt;=DATE(2026,3,1)),1,"")</f>
        <v/>
      </c>
      <c r="P86">
        <f>IF(AND($D86&lt;=DATE(2026,3,14),$E86&gt;=DATE(2026,3,8)),1,"")</f>
        <v/>
      </c>
      <c r="Q86">
        <f>IF(AND($D86&lt;=DATE(2026,3,21),$E86&gt;=DATE(2026,3,15)),1,"")</f>
        <v/>
      </c>
      <c r="R86">
        <f>IF(AND($D86&lt;=DATE(2026,3,31),$E86&gt;=DATE(2026,3,22)),1,"")</f>
        <v/>
      </c>
      <c r="S86">
        <f>IF(AND($D86&lt;=DATE(2026,4,7),$E86&gt;=DATE(2026,4,1)),1,"")</f>
        <v/>
      </c>
      <c r="T86">
        <f>IF(AND($D86&lt;=DATE(2026,4,14),$E86&gt;=DATE(2026,4,8)),1,"")</f>
        <v/>
      </c>
      <c r="U86">
        <f>IF(AND($D86&lt;=DATE(2026,4,21),$E86&gt;=DATE(2026,4,15)),1,"")</f>
        <v/>
      </c>
      <c r="V86">
        <f>IF(AND($D86&lt;=DATE(2026,4,30),$E86&gt;=DATE(2026,4,22)),1,"")</f>
        <v/>
      </c>
      <c r="W86">
        <f>IF(AND($D86&lt;=DATE(2026,5,7),$E86&gt;=DATE(2026,5,1)),1,"")</f>
        <v/>
      </c>
      <c r="X86">
        <f>IF(AND($D86&lt;=DATE(2026,5,14),$E86&gt;=DATE(2026,5,8)),1,"")</f>
        <v/>
      </c>
      <c r="Y86">
        <f>IF(AND($D86&lt;=DATE(2026,5,21),$E86&gt;=DATE(2026,5,15)),1,"")</f>
        <v/>
      </c>
      <c r="Z86">
        <f>IF(AND($D86&lt;=DATE(2026,5,31),$E86&gt;=DATE(2026,5,22)),1,"")</f>
        <v/>
      </c>
      <c r="AA86">
        <f>IF(AND($D86&lt;=DATE(2026,6,7),$E86&gt;=DATE(2026,6,1)),1,"")</f>
        <v/>
      </c>
      <c r="AB86">
        <f>IF(AND($D86&lt;=DATE(2026,6,14),$E86&gt;=DATE(2026,6,8)),1,"")</f>
        <v/>
      </c>
      <c r="AC86">
        <f>IF(AND($D86&lt;=DATE(2026,6,21),$E86&gt;=DATE(2026,6,15)),1,"")</f>
        <v/>
      </c>
      <c r="AD86">
        <f>IF(AND($D86&lt;=DATE(2026,6,30),$E86&gt;=DATE(2026,6,22)),1,"")</f>
        <v/>
      </c>
      <c r="AE86">
        <f>IF(AND($D86&lt;=DATE(2026,7,7),$E86&gt;=DATE(2026,7,1)),1,"")</f>
        <v/>
      </c>
      <c r="AF86">
        <f>IF(AND($D86&lt;=DATE(2026,7,14),$E86&gt;=DATE(2026,7,8)),1,"")</f>
        <v/>
      </c>
      <c r="AG86">
        <f>IF(AND($D86&lt;=DATE(2026,7,21),$E86&gt;=DATE(2026,7,15)),1,"")</f>
        <v/>
      </c>
      <c r="AH86">
        <f>IF(AND($D86&lt;=DATE(2026,7,31),$E86&gt;=DATE(2026,7,22)),1,"")</f>
        <v/>
      </c>
      <c r="AI86">
        <f>IF(AND($D86&lt;=DATE(2026,8,7),$E86&gt;=DATE(2026,8,1)),1,"")</f>
        <v/>
      </c>
      <c r="AJ86">
        <f>IF(AND($D86&lt;=DATE(2026,8,14),$E86&gt;=DATE(2026,8,8)),1,"")</f>
        <v/>
      </c>
      <c r="AK86">
        <f>IF(AND($D86&lt;=DATE(2026,8,21),$E86&gt;=DATE(2026,8,15)),1,"")</f>
        <v/>
      </c>
      <c r="AL86">
        <f>IF(AND($D86&lt;=DATE(2026,8,31),$E86&gt;=DATE(2026,8,22)),1,"")</f>
        <v/>
      </c>
      <c r="AM86">
        <f>IF(AND($D86&lt;=DATE(2026,9,7),$E86&gt;=DATE(2026,9,1)),1,"")</f>
        <v/>
      </c>
      <c r="AN86">
        <f>IF(AND($D86&lt;=DATE(2026,9,14),$E86&gt;=DATE(2026,9,8)),1,"")</f>
        <v/>
      </c>
      <c r="AO86">
        <f>IF(AND($D86&lt;=DATE(2026,9,21),$E86&gt;=DATE(2026,9,15)),1,"")</f>
        <v/>
      </c>
      <c r="AP86">
        <f>IF(AND($D86&lt;=DATE(2026,9,30),$E86&gt;=DATE(2026,9,22)),1,"")</f>
        <v/>
      </c>
      <c r="AQ86">
        <f>IF(AND($D86&lt;=DATE(2026,10,7),$E86&gt;=DATE(2026,10,1)),1,"")</f>
        <v/>
      </c>
      <c r="AR86">
        <f>IF(AND($D86&lt;=DATE(2026,10,14),$E86&gt;=DATE(2026,10,8)),1,"")</f>
        <v/>
      </c>
      <c r="AS86">
        <f>IF(AND($D86&lt;=DATE(2026,10,21),$E86&gt;=DATE(2026,10,15)),1,"")</f>
        <v/>
      </c>
      <c r="AT86">
        <f>IF(AND($D86&lt;=DATE(2026,10,31),$E86&gt;=DATE(2026,10,22)),1,"")</f>
        <v/>
      </c>
      <c r="AU86">
        <f>IF(AND($D86&lt;=DATE(2026,11,7),$E86&gt;=DATE(2026,11,1)),1,"")</f>
        <v/>
      </c>
      <c r="AV86">
        <f>IF(AND($D86&lt;=DATE(2026,11,14),$E86&gt;=DATE(2026,11,8)),1,"")</f>
        <v/>
      </c>
      <c r="AW86">
        <f>IF(AND($D86&lt;=DATE(2026,11,21),$E86&gt;=DATE(2026,11,15)),1,"")</f>
        <v/>
      </c>
      <c r="AX86">
        <f>IF(AND($D86&lt;=DATE(2026,11,30),$E86&gt;=DATE(2026,11,22)),1,"")</f>
        <v/>
      </c>
      <c r="AY86">
        <f>IF(AND($D86&lt;=DATE(2026,12,7),$E86&gt;=DATE(2026,12,1)),1,"")</f>
        <v/>
      </c>
      <c r="AZ86">
        <f>IF(AND($D86&lt;=DATE(2026,12,14),$E86&gt;=DATE(2026,12,8)),1,"")</f>
        <v/>
      </c>
      <c r="BA86">
        <f>IF(AND($D86&lt;=DATE(2026,12,21),$E86&gt;=DATE(2026,12,15)),1,"")</f>
        <v/>
      </c>
      <c r="BB86">
        <f>IF(AND($D86&lt;=DATE(2026,12,31),$E86&gt;=DATE(2026,12,22)),1,"")</f>
        <v/>
      </c>
    </row>
    <row r="87" ht="15" customHeight="1">
      <c r="F87">
        <f>IF(OR(D87="",E87=""),"",E87-D87+1)</f>
        <v/>
      </c>
      <c r="G87">
        <f>IF(AND($D87&lt;=DATE(2026,1,7),$E87&gt;=DATE(2026,1,1)),1,"")</f>
        <v/>
      </c>
      <c r="H87">
        <f>IF(AND($D87&lt;=DATE(2026,1,14),$E87&gt;=DATE(2026,1,8)),1,"")</f>
        <v/>
      </c>
      <c r="I87">
        <f>IF(AND($D87&lt;=DATE(2026,1,21),$E87&gt;=DATE(2026,1,15)),1,"")</f>
        <v/>
      </c>
      <c r="J87">
        <f>IF(AND($D87&lt;=DATE(2026,1,31),$E87&gt;=DATE(2026,1,22)),1,"")</f>
        <v/>
      </c>
      <c r="K87">
        <f>IF(AND($D87&lt;=DATE(2026,2,7),$E87&gt;=DATE(2026,2,1)),1,"")</f>
        <v/>
      </c>
      <c r="L87">
        <f>IF(AND($D87&lt;=DATE(2026,2,14),$E87&gt;=DATE(2026,2,8)),1,"")</f>
        <v/>
      </c>
      <c r="M87">
        <f>IF(AND($D87&lt;=DATE(2026,2,21),$E87&gt;=DATE(2026,2,15)),1,"")</f>
        <v/>
      </c>
      <c r="N87">
        <f>IF(AND($D87&lt;=DATE(2026,2,28),$E87&gt;=DATE(2026,2,22)),1,"")</f>
        <v/>
      </c>
      <c r="O87">
        <f>IF(AND($D87&lt;=DATE(2026,3,7),$E87&gt;=DATE(2026,3,1)),1,"")</f>
        <v/>
      </c>
      <c r="P87">
        <f>IF(AND($D87&lt;=DATE(2026,3,14),$E87&gt;=DATE(2026,3,8)),1,"")</f>
        <v/>
      </c>
      <c r="Q87">
        <f>IF(AND($D87&lt;=DATE(2026,3,21),$E87&gt;=DATE(2026,3,15)),1,"")</f>
        <v/>
      </c>
      <c r="R87">
        <f>IF(AND($D87&lt;=DATE(2026,3,31),$E87&gt;=DATE(2026,3,22)),1,"")</f>
        <v/>
      </c>
      <c r="S87">
        <f>IF(AND($D87&lt;=DATE(2026,4,7),$E87&gt;=DATE(2026,4,1)),1,"")</f>
        <v/>
      </c>
      <c r="T87">
        <f>IF(AND($D87&lt;=DATE(2026,4,14),$E87&gt;=DATE(2026,4,8)),1,"")</f>
        <v/>
      </c>
      <c r="U87">
        <f>IF(AND($D87&lt;=DATE(2026,4,21),$E87&gt;=DATE(2026,4,15)),1,"")</f>
        <v/>
      </c>
      <c r="V87">
        <f>IF(AND($D87&lt;=DATE(2026,4,30),$E87&gt;=DATE(2026,4,22)),1,"")</f>
        <v/>
      </c>
      <c r="W87">
        <f>IF(AND($D87&lt;=DATE(2026,5,7),$E87&gt;=DATE(2026,5,1)),1,"")</f>
        <v/>
      </c>
      <c r="X87">
        <f>IF(AND($D87&lt;=DATE(2026,5,14),$E87&gt;=DATE(2026,5,8)),1,"")</f>
        <v/>
      </c>
      <c r="Y87">
        <f>IF(AND($D87&lt;=DATE(2026,5,21),$E87&gt;=DATE(2026,5,15)),1,"")</f>
        <v/>
      </c>
      <c r="Z87">
        <f>IF(AND($D87&lt;=DATE(2026,5,31),$E87&gt;=DATE(2026,5,22)),1,"")</f>
        <v/>
      </c>
      <c r="AA87">
        <f>IF(AND($D87&lt;=DATE(2026,6,7),$E87&gt;=DATE(2026,6,1)),1,"")</f>
        <v/>
      </c>
      <c r="AB87">
        <f>IF(AND($D87&lt;=DATE(2026,6,14),$E87&gt;=DATE(2026,6,8)),1,"")</f>
        <v/>
      </c>
      <c r="AC87">
        <f>IF(AND($D87&lt;=DATE(2026,6,21),$E87&gt;=DATE(2026,6,15)),1,"")</f>
        <v/>
      </c>
      <c r="AD87">
        <f>IF(AND($D87&lt;=DATE(2026,6,30),$E87&gt;=DATE(2026,6,22)),1,"")</f>
        <v/>
      </c>
      <c r="AE87">
        <f>IF(AND($D87&lt;=DATE(2026,7,7),$E87&gt;=DATE(2026,7,1)),1,"")</f>
        <v/>
      </c>
      <c r="AF87">
        <f>IF(AND($D87&lt;=DATE(2026,7,14),$E87&gt;=DATE(2026,7,8)),1,"")</f>
        <v/>
      </c>
      <c r="AG87">
        <f>IF(AND($D87&lt;=DATE(2026,7,21),$E87&gt;=DATE(2026,7,15)),1,"")</f>
        <v/>
      </c>
      <c r="AH87">
        <f>IF(AND($D87&lt;=DATE(2026,7,31),$E87&gt;=DATE(2026,7,22)),1,"")</f>
        <v/>
      </c>
      <c r="AI87">
        <f>IF(AND($D87&lt;=DATE(2026,8,7),$E87&gt;=DATE(2026,8,1)),1,"")</f>
        <v/>
      </c>
      <c r="AJ87">
        <f>IF(AND($D87&lt;=DATE(2026,8,14),$E87&gt;=DATE(2026,8,8)),1,"")</f>
        <v/>
      </c>
      <c r="AK87">
        <f>IF(AND($D87&lt;=DATE(2026,8,21),$E87&gt;=DATE(2026,8,15)),1,"")</f>
        <v/>
      </c>
      <c r="AL87">
        <f>IF(AND($D87&lt;=DATE(2026,8,31),$E87&gt;=DATE(2026,8,22)),1,"")</f>
        <v/>
      </c>
      <c r="AM87">
        <f>IF(AND($D87&lt;=DATE(2026,9,7),$E87&gt;=DATE(2026,9,1)),1,"")</f>
        <v/>
      </c>
      <c r="AN87">
        <f>IF(AND($D87&lt;=DATE(2026,9,14),$E87&gt;=DATE(2026,9,8)),1,"")</f>
        <v/>
      </c>
      <c r="AO87">
        <f>IF(AND($D87&lt;=DATE(2026,9,21),$E87&gt;=DATE(2026,9,15)),1,"")</f>
        <v/>
      </c>
      <c r="AP87">
        <f>IF(AND($D87&lt;=DATE(2026,9,30),$E87&gt;=DATE(2026,9,22)),1,"")</f>
        <v/>
      </c>
      <c r="AQ87">
        <f>IF(AND($D87&lt;=DATE(2026,10,7),$E87&gt;=DATE(2026,10,1)),1,"")</f>
        <v/>
      </c>
      <c r="AR87">
        <f>IF(AND($D87&lt;=DATE(2026,10,14),$E87&gt;=DATE(2026,10,8)),1,"")</f>
        <v/>
      </c>
      <c r="AS87">
        <f>IF(AND($D87&lt;=DATE(2026,10,21),$E87&gt;=DATE(2026,10,15)),1,"")</f>
        <v/>
      </c>
      <c r="AT87">
        <f>IF(AND($D87&lt;=DATE(2026,10,31),$E87&gt;=DATE(2026,10,22)),1,"")</f>
        <v/>
      </c>
      <c r="AU87">
        <f>IF(AND($D87&lt;=DATE(2026,11,7),$E87&gt;=DATE(2026,11,1)),1,"")</f>
        <v/>
      </c>
      <c r="AV87">
        <f>IF(AND($D87&lt;=DATE(2026,11,14),$E87&gt;=DATE(2026,11,8)),1,"")</f>
        <v/>
      </c>
      <c r="AW87">
        <f>IF(AND($D87&lt;=DATE(2026,11,21),$E87&gt;=DATE(2026,11,15)),1,"")</f>
        <v/>
      </c>
      <c r="AX87">
        <f>IF(AND($D87&lt;=DATE(2026,11,30),$E87&gt;=DATE(2026,11,22)),1,"")</f>
        <v/>
      </c>
      <c r="AY87">
        <f>IF(AND($D87&lt;=DATE(2026,12,7),$E87&gt;=DATE(2026,12,1)),1,"")</f>
        <v/>
      </c>
      <c r="AZ87">
        <f>IF(AND($D87&lt;=DATE(2026,12,14),$E87&gt;=DATE(2026,12,8)),1,"")</f>
        <v/>
      </c>
      <c r="BA87">
        <f>IF(AND($D87&lt;=DATE(2026,12,21),$E87&gt;=DATE(2026,12,15)),1,"")</f>
        <v/>
      </c>
      <c r="BB87">
        <f>IF(AND($D87&lt;=DATE(2026,12,31),$E87&gt;=DATE(2026,12,22)),1,"")</f>
        <v/>
      </c>
    </row>
    <row r="88" ht="15" customHeight="1">
      <c r="F88">
        <f>IF(OR(D88="",E88=""),"",E88-D88+1)</f>
        <v/>
      </c>
      <c r="G88">
        <f>IF(AND($D88&lt;=DATE(2026,1,7),$E88&gt;=DATE(2026,1,1)),1,"")</f>
        <v/>
      </c>
      <c r="H88">
        <f>IF(AND($D88&lt;=DATE(2026,1,14),$E88&gt;=DATE(2026,1,8)),1,"")</f>
        <v/>
      </c>
      <c r="I88">
        <f>IF(AND($D88&lt;=DATE(2026,1,21),$E88&gt;=DATE(2026,1,15)),1,"")</f>
        <v/>
      </c>
      <c r="J88">
        <f>IF(AND($D88&lt;=DATE(2026,1,31),$E88&gt;=DATE(2026,1,22)),1,"")</f>
        <v/>
      </c>
      <c r="K88">
        <f>IF(AND($D88&lt;=DATE(2026,2,7),$E88&gt;=DATE(2026,2,1)),1,"")</f>
        <v/>
      </c>
      <c r="L88">
        <f>IF(AND($D88&lt;=DATE(2026,2,14),$E88&gt;=DATE(2026,2,8)),1,"")</f>
        <v/>
      </c>
      <c r="M88">
        <f>IF(AND($D88&lt;=DATE(2026,2,21),$E88&gt;=DATE(2026,2,15)),1,"")</f>
        <v/>
      </c>
      <c r="N88">
        <f>IF(AND($D88&lt;=DATE(2026,2,28),$E88&gt;=DATE(2026,2,22)),1,"")</f>
        <v/>
      </c>
      <c r="O88">
        <f>IF(AND($D88&lt;=DATE(2026,3,7),$E88&gt;=DATE(2026,3,1)),1,"")</f>
        <v/>
      </c>
      <c r="P88">
        <f>IF(AND($D88&lt;=DATE(2026,3,14),$E88&gt;=DATE(2026,3,8)),1,"")</f>
        <v/>
      </c>
      <c r="Q88">
        <f>IF(AND($D88&lt;=DATE(2026,3,21),$E88&gt;=DATE(2026,3,15)),1,"")</f>
        <v/>
      </c>
      <c r="R88">
        <f>IF(AND($D88&lt;=DATE(2026,3,31),$E88&gt;=DATE(2026,3,22)),1,"")</f>
        <v/>
      </c>
      <c r="S88">
        <f>IF(AND($D88&lt;=DATE(2026,4,7),$E88&gt;=DATE(2026,4,1)),1,"")</f>
        <v/>
      </c>
      <c r="T88">
        <f>IF(AND($D88&lt;=DATE(2026,4,14),$E88&gt;=DATE(2026,4,8)),1,"")</f>
        <v/>
      </c>
      <c r="U88">
        <f>IF(AND($D88&lt;=DATE(2026,4,21),$E88&gt;=DATE(2026,4,15)),1,"")</f>
        <v/>
      </c>
      <c r="V88">
        <f>IF(AND($D88&lt;=DATE(2026,4,30),$E88&gt;=DATE(2026,4,22)),1,"")</f>
        <v/>
      </c>
      <c r="W88">
        <f>IF(AND($D88&lt;=DATE(2026,5,7),$E88&gt;=DATE(2026,5,1)),1,"")</f>
        <v/>
      </c>
      <c r="X88">
        <f>IF(AND($D88&lt;=DATE(2026,5,14),$E88&gt;=DATE(2026,5,8)),1,"")</f>
        <v/>
      </c>
      <c r="Y88">
        <f>IF(AND($D88&lt;=DATE(2026,5,21),$E88&gt;=DATE(2026,5,15)),1,"")</f>
        <v/>
      </c>
      <c r="Z88">
        <f>IF(AND($D88&lt;=DATE(2026,5,31),$E88&gt;=DATE(2026,5,22)),1,"")</f>
        <v/>
      </c>
      <c r="AA88">
        <f>IF(AND($D88&lt;=DATE(2026,6,7),$E88&gt;=DATE(2026,6,1)),1,"")</f>
        <v/>
      </c>
      <c r="AB88">
        <f>IF(AND($D88&lt;=DATE(2026,6,14),$E88&gt;=DATE(2026,6,8)),1,"")</f>
        <v/>
      </c>
      <c r="AC88">
        <f>IF(AND($D88&lt;=DATE(2026,6,21),$E88&gt;=DATE(2026,6,15)),1,"")</f>
        <v/>
      </c>
      <c r="AD88">
        <f>IF(AND($D88&lt;=DATE(2026,6,30),$E88&gt;=DATE(2026,6,22)),1,"")</f>
        <v/>
      </c>
      <c r="AE88">
        <f>IF(AND($D88&lt;=DATE(2026,7,7),$E88&gt;=DATE(2026,7,1)),1,"")</f>
        <v/>
      </c>
      <c r="AF88">
        <f>IF(AND($D88&lt;=DATE(2026,7,14),$E88&gt;=DATE(2026,7,8)),1,"")</f>
        <v/>
      </c>
      <c r="AG88">
        <f>IF(AND($D88&lt;=DATE(2026,7,21),$E88&gt;=DATE(2026,7,15)),1,"")</f>
        <v/>
      </c>
      <c r="AH88">
        <f>IF(AND($D88&lt;=DATE(2026,7,31),$E88&gt;=DATE(2026,7,22)),1,"")</f>
        <v/>
      </c>
      <c r="AI88">
        <f>IF(AND($D88&lt;=DATE(2026,8,7),$E88&gt;=DATE(2026,8,1)),1,"")</f>
        <v/>
      </c>
      <c r="AJ88">
        <f>IF(AND($D88&lt;=DATE(2026,8,14),$E88&gt;=DATE(2026,8,8)),1,"")</f>
        <v/>
      </c>
      <c r="AK88">
        <f>IF(AND($D88&lt;=DATE(2026,8,21),$E88&gt;=DATE(2026,8,15)),1,"")</f>
        <v/>
      </c>
      <c r="AL88">
        <f>IF(AND($D88&lt;=DATE(2026,8,31),$E88&gt;=DATE(2026,8,22)),1,"")</f>
        <v/>
      </c>
      <c r="AM88">
        <f>IF(AND($D88&lt;=DATE(2026,9,7),$E88&gt;=DATE(2026,9,1)),1,"")</f>
        <v/>
      </c>
      <c r="AN88">
        <f>IF(AND($D88&lt;=DATE(2026,9,14),$E88&gt;=DATE(2026,9,8)),1,"")</f>
        <v/>
      </c>
      <c r="AO88">
        <f>IF(AND($D88&lt;=DATE(2026,9,21),$E88&gt;=DATE(2026,9,15)),1,"")</f>
        <v/>
      </c>
      <c r="AP88">
        <f>IF(AND($D88&lt;=DATE(2026,9,30),$E88&gt;=DATE(2026,9,22)),1,"")</f>
        <v/>
      </c>
      <c r="AQ88">
        <f>IF(AND($D88&lt;=DATE(2026,10,7),$E88&gt;=DATE(2026,10,1)),1,"")</f>
        <v/>
      </c>
      <c r="AR88">
        <f>IF(AND($D88&lt;=DATE(2026,10,14),$E88&gt;=DATE(2026,10,8)),1,"")</f>
        <v/>
      </c>
      <c r="AS88">
        <f>IF(AND($D88&lt;=DATE(2026,10,21),$E88&gt;=DATE(2026,10,15)),1,"")</f>
        <v/>
      </c>
      <c r="AT88">
        <f>IF(AND($D88&lt;=DATE(2026,10,31),$E88&gt;=DATE(2026,10,22)),1,"")</f>
        <v/>
      </c>
      <c r="AU88">
        <f>IF(AND($D88&lt;=DATE(2026,11,7),$E88&gt;=DATE(2026,11,1)),1,"")</f>
        <v/>
      </c>
      <c r="AV88">
        <f>IF(AND($D88&lt;=DATE(2026,11,14),$E88&gt;=DATE(2026,11,8)),1,"")</f>
        <v/>
      </c>
      <c r="AW88">
        <f>IF(AND($D88&lt;=DATE(2026,11,21),$E88&gt;=DATE(2026,11,15)),1,"")</f>
        <v/>
      </c>
      <c r="AX88">
        <f>IF(AND($D88&lt;=DATE(2026,11,30),$E88&gt;=DATE(2026,11,22)),1,"")</f>
        <v/>
      </c>
      <c r="AY88">
        <f>IF(AND($D88&lt;=DATE(2026,12,7),$E88&gt;=DATE(2026,12,1)),1,"")</f>
        <v/>
      </c>
      <c r="AZ88">
        <f>IF(AND($D88&lt;=DATE(2026,12,14),$E88&gt;=DATE(2026,12,8)),1,"")</f>
        <v/>
      </c>
      <c r="BA88">
        <f>IF(AND($D88&lt;=DATE(2026,12,21),$E88&gt;=DATE(2026,12,15)),1,"")</f>
        <v/>
      </c>
      <c r="BB88">
        <f>IF(AND($D88&lt;=DATE(2026,12,31),$E88&gt;=DATE(2026,12,22)),1,"")</f>
        <v/>
      </c>
    </row>
    <row r="89" ht="15" customHeight="1">
      <c r="F89">
        <f>IF(OR(D89="",E89=""),"",E89-D89+1)</f>
        <v/>
      </c>
      <c r="G89">
        <f>IF(AND($D89&lt;=DATE(2026,1,7),$E89&gt;=DATE(2026,1,1)),1,"")</f>
        <v/>
      </c>
      <c r="H89">
        <f>IF(AND($D89&lt;=DATE(2026,1,14),$E89&gt;=DATE(2026,1,8)),1,"")</f>
        <v/>
      </c>
      <c r="I89">
        <f>IF(AND($D89&lt;=DATE(2026,1,21),$E89&gt;=DATE(2026,1,15)),1,"")</f>
        <v/>
      </c>
      <c r="J89">
        <f>IF(AND($D89&lt;=DATE(2026,1,31),$E89&gt;=DATE(2026,1,22)),1,"")</f>
        <v/>
      </c>
      <c r="K89">
        <f>IF(AND($D89&lt;=DATE(2026,2,7),$E89&gt;=DATE(2026,2,1)),1,"")</f>
        <v/>
      </c>
      <c r="L89">
        <f>IF(AND($D89&lt;=DATE(2026,2,14),$E89&gt;=DATE(2026,2,8)),1,"")</f>
        <v/>
      </c>
      <c r="M89">
        <f>IF(AND($D89&lt;=DATE(2026,2,21),$E89&gt;=DATE(2026,2,15)),1,"")</f>
        <v/>
      </c>
      <c r="N89">
        <f>IF(AND($D89&lt;=DATE(2026,2,28),$E89&gt;=DATE(2026,2,22)),1,"")</f>
        <v/>
      </c>
      <c r="O89">
        <f>IF(AND($D89&lt;=DATE(2026,3,7),$E89&gt;=DATE(2026,3,1)),1,"")</f>
        <v/>
      </c>
      <c r="P89">
        <f>IF(AND($D89&lt;=DATE(2026,3,14),$E89&gt;=DATE(2026,3,8)),1,"")</f>
        <v/>
      </c>
      <c r="Q89">
        <f>IF(AND($D89&lt;=DATE(2026,3,21),$E89&gt;=DATE(2026,3,15)),1,"")</f>
        <v/>
      </c>
      <c r="R89">
        <f>IF(AND($D89&lt;=DATE(2026,3,31),$E89&gt;=DATE(2026,3,22)),1,"")</f>
        <v/>
      </c>
      <c r="S89">
        <f>IF(AND($D89&lt;=DATE(2026,4,7),$E89&gt;=DATE(2026,4,1)),1,"")</f>
        <v/>
      </c>
      <c r="T89">
        <f>IF(AND($D89&lt;=DATE(2026,4,14),$E89&gt;=DATE(2026,4,8)),1,"")</f>
        <v/>
      </c>
      <c r="U89">
        <f>IF(AND($D89&lt;=DATE(2026,4,21),$E89&gt;=DATE(2026,4,15)),1,"")</f>
        <v/>
      </c>
      <c r="V89">
        <f>IF(AND($D89&lt;=DATE(2026,4,30),$E89&gt;=DATE(2026,4,22)),1,"")</f>
        <v/>
      </c>
      <c r="W89">
        <f>IF(AND($D89&lt;=DATE(2026,5,7),$E89&gt;=DATE(2026,5,1)),1,"")</f>
        <v/>
      </c>
      <c r="X89">
        <f>IF(AND($D89&lt;=DATE(2026,5,14),$E89&gt;=DATE(2026,5,8)),1,"")</f>
        <v/>
      </c>
      <c r="Y89">
        <f>IF(AND($D89&lt;=DATE(2026,5,21),$E89&gt;=DATE(2026,5,15)),1,"")</f>
        <v/>
      </c>
      <c r="Z89">
        <f>IF(AND($D89&lt;=DATE(2026,5,31),$E89&gt;=DATE(2026,5,22)),1,"")</f>
        <v/>
      </c>
      <c r="AA89">
        <f>IF(AND($D89&lt;=DATE(2026,6,7),$E89&gt;=DATE(2026,6,1)),1,"")</f>
        <v/>
      </c>
      <c r="AB89">
        <f>IF(AND($D89&lt;=DATE(2026,6,14),$E89&gt;=DATE(2026,6,8)),1,"")</f>
        <v/>
      </c>
      <c r="AC89">
        <f>IF(AND($D89&lt;=DATE(2026,6,21),$E89&gt;=DATE(2026,6,15)),1,"")</f>
        <v/>
      </c>
      <c r="AD89">
        <f>IF(AND($D89&lt;=DATE(2026,6,30),$E89&gt;=DATE(2026,6,22)),1,"")</f>
        <v/>
      </c>
      <c r="AE89">
        <f>IF(AND($D89&lt;=DATE(2026,7,7),$E89&gt;=DATE(2026,7,1)),1,"")</f>
        <v/>
      </c>
      <c r="AF89">
        <f>IF(AND($D89&lt;=DATE(2026,7,14),$E89&gt;=DATE(2026,7,8)),1,"")</f>
        <v/>
      </c>
      <c r="AG89">
        <f>IF(AND($D89&lt;=DATE(2026,7,21),$E89&gt;=DATE(2026,7,15)),1,"")</f>
        <v/>
      </c>
      <c r="AH89">
        <f>IF(AND($D89&lt;=DATE(2026,7,31),$E89&gt;=DATE(2026,7,22)),1,"")</f>
        <v/>
      </c>
      <c r="AI89">
        <f>IF(AND($D89&lt;=DATE(2026,8,7),$E89&gt;=DATE(2026,8,1)),1,"")</f>
        <v/>
      </c>
      <c r="AJ89">
        <f>IF(AND($D89&lt;=DATE(2026,8,14),$E89&gt;=DATE(2026,8,8)),1,"")</f>
        <v/>
      </c>
      <c r="AK89">
        <f>IF(AND($D89&lt;=DATE(2026,8,21),$E89&gt;=DATE(2026,8,15)),1,"")</f>
        <v/>
      </c>
      <c r="AL89">
        <f>IF(AND($D89&lt;=DATE(2026,8,31),$E89&gt;=DATE(2026,8,22)),1,"")</f>
        <v/>
      </c>
      <c r="AM89">
        <f>IF(AND($D89&lt;=DATE(2026,9,7),$E89&gt;=DATE(2026,9,1)),1,"")</f>
        <v/>
      </c>
      <c r="AN89">
        <f>IF(AND($D89&lt;=DATE(2026,9,14),$E89&gt;=DATE(2026,9,8)),1,"")</f>
        <v/>
      </c>
      <c r="AO89">
        <f>IF(AND($D89&lt;=DATE(2026,9,21),$E89&gt;=DATE(2026,9,15)),1,"")</f>
        <v/>
      </c>
      <c r="AP89">
        <f>IF(AND($D89&lt;=DATE(2026,9,30),$E89&gt;=DATE(2026,9,22)),1,"")</f>
        <v/>
      </c>
      <c r="AQ89">
        <f>IF(AND($D89&lt;=DATE(2026,10,7),$E89&gt;=DATE(2026,10,1)),1,"")</f>
        <v/>
      </c>
      <c r="AR89">
        <f>IF(AND($D89&lt;=DATE(2026,10,14),$E89&gt;=DATE(2026,10,8)),1,"")</f>
        <v/>
      </c>
      <c r="AS89">
        <f>IF(AND($D89&lt;=DATE(2026,10,21),$E89&gt;=DATE(2026,10,15)),1,"")</f>
        <v/>
      </c>
      <c r="AT89">
        <f>IF(AND($D89&lt;=DATE(2026,10,31),$E89&gt;=DATE(2026,10,22)),1,"")</f>
        <v/>
      </c>
      <c r="AU89">
        <f>IF(AND($D89&lt;=DATE(2026,11,7),$E89&gt;=DATE(2026,11,1)),1,"")</f>
        <v/>
      </c>
      <c r="AV89">
        <f>IF(AND($D89&lt;=DATE(2026,11,14),$E89&gt;=DATE(2026,11,8)),1,"")</f>
        <v/>
      </c>
      <c r="AW89">
        <f>IF(AND($D89&lt;=DATE(2026,11,21),$E89&gt;=DATE(2026,11,15)),1,"")</f>
        <v/>
      </c>
      <c r="AX89">
        <f>IF(AND($D89&lt;=DATE(2026,11,30),$E89&gt;=DATE(2026,11,22)),1,"")</f>
        <v/>
      </c>
      <c r="AY89">
        <f>IF(AND($D89&lt;=DATE(2026,12,7),$E89&gt;=DATE(2026,12,1)),1,"")</f>
        <v/>
      </c>
      <c r="AZ89">
        <f>IF(AND($D89&lt;=DATE(2026,12,14),$E89&gt;=DATE(2026,12,8)),1,"")</f>
        <v/>
      </c>
      <c r="BA89">
        <f>IF(AND($D89&lt;=DATE(2026,12,21),$E89&gt;=DATE(2026,12,15)),1,"")</f>
        <v/>
      </c>
      <c r="BB89">
        <f>IF(AND($D89&lt;=DATE(2026,12,31),$E89&gt;=DATE(2026,12,22)),1,"")</f>
        <v/>
      </c>
    </row>
    <row r="90" ht="15" customHeight="1">
      <c r="F90">
        <f>IF(OR(D90="",E90=""),"",E90-D90+1)</f>
        <v/>
      </c>
      <c r="G90">
        <f>IF(AND($D90&lt;=DATE(2026,1,7),$E90&gt;=DATE(2026,1,1)),1,"")</f>
        <v/>
      </c>
      <c r="H90">
        <f>IF(AND($D90&lt;=DATE(2026,1,14),$E90&gt;=DATE(2026,1,8)),1,"")</f>
        <v/>
      </c>
      <c r="I90">
        <f>IF(AND($D90&lt;=DATE(2026,1,21),$E90&gt;=DATE(2026,1,15)),1,"")</f>
        <v/>
      </c>
      <c r="J90">
        <f>IF(AND($D90&lt;=DATE(2026,1,31),$E90&gt;=DATE(2026,1,22)),1,"")</f>
        <v/>
      </c>
      <c r="K90">
        <f>IF(AND($D90&lt;=DATE(2026,2,7),$E90&gt;=DATE(2026,2,1)),1,"")</f>
        <v/>
      </c>
      <c r="L90">
        <f>IF(AND($D90&lt;=DATE(2026,2,14),$E90&gt;=DATE(2026,2,8)),1,"")</f>
        <v/>
      </c>
      <c r="M90">
        <f>IF(AND($D90&lt;=DATE(2026,2,21),$E90&gt;=DATE(2026,2,15)),1,"")</f>
        <v/>
      </c>
      <c r="N90">
        <f>IF(AND($D90&lt;=DATE(2026,2,28),$E90&gt;=DATE(2026,2,22)),1,"")</f>
        <v/>
      </c>
      <c r="O90">
        <f>IF(AND($D90&lt;=DATE(2026,3,7),$E90&gt;=DATE(2026,3,1)),1,"")</f>
        <v/>
      </c>
      <c r="P90">
        <f>IF(AND($D90&lt;=DATE(2026,3,14),$E90&gt;=DATE(2026,3,8)),1,"")</f>
        <v/>
      </c>
      <c r="Q90">
        <f>IF(AND($D90&lt;=DATE(2026,3,21),$E90&gt;=DATE(2026,3,15)),1,"")</f>
        <v/>
      </c>
      <c r="R90">
        <f>IF(AND($D90&lt;=DATE(2026,3,31),$E90&gt;=DATE(2026,3,22)),1,"")</f>
        <v/>
      </c>
      <c r="S90">
        <f>IF(AND($D90&lt;=DATE(2026,4,7),$E90&gt;=DATE(2026,4,1)),1,"")</f>
        <v/>
      </c>
      <c r="T90">
        <f>IF(AND($D90&lt;=DATE(2026,4,14),$E90&gt;=DATE(2026,4,8)),1,"")</f>
        <v/>
      </c>
      <c r="U90">
        <f>IF(AND($D90&lt;=DATE(2026,4,21),$E90&gt;=DATE(2026,4,15)),1,"")</f>
        <v/>
      </c>
      <c r="V90">
        <f>IF(AND($D90&lt;=DATE(2026,4,30),$E90&gt;=DATE(2026,4,22)),1,"")</f>
        <v/>
      </c>
      <c r="W90">
        <f>IF(AND($D90&lt;=DATE(2026,5,7),$E90&gt;=DATE(2026,5,1)),1,"")</f>
        <v/>
      </c>
      <c r="X90">
        <f>IF(AND($D90&lt;=DATE(2026,5,14),$E90&gt;=DATE(2026,5,8)),1,"")</f>
        <v/>
      </c>
      <c r="Y90">
        <f>IF(AND($D90&lt;=DATE(2026,5,21),$E90&gt;=DATE(2026,5,15)),1,"")</f>
        <v/>
      </c>
      <c r="Z90">
        <f>IF(AND($D90&lt;=DATE(2026,5,31),$E90&gt;=DATE(2026,5,22)),1,"")</f>
        <v/>
      </c>
      <c r="AA90">
        <f>IF(AND($D90&lt;=DATE(2026,6,7),$E90&gt;=DATE(2026,6,1)),1,"")</f>
        <v/>
      </c>
      <c r="AB90">
        <f>IF(AND($D90&lt;=DATE(2026,6,14),$E90&gt;=DATE(2026,6,8)),1,"")</f>
        <v/>
      </c>
      <c r="AC90">
        <f>IF(AND($D90&lt;=DATE(2026,6,21),$E90&gt;=DATE(2026,6,15)),1,"")</f>
        <v/>
      </c>
      <c r="AD90">
        <f>IF(AND($D90&lt;=DATE(2026,6,30),$E90&gt;=DATE(2026,6,22)),1,"")</f>
        <v/>
      </c>
      <c r="AE90">
        <f>IF(AND($D90&lt;=DATE(2026,7,7),$E90&gt;=DATE(2026,7,1)),1,"")</f>
        <v/>
      </c>
      <c r="AF90">
        <f>IF(AND($D90&lt;=DATE(2026,7,14),$E90&gt;=DATE(2026,7,8)),1,"")</f>
        <v/>
      </c>
      <c r="AG90">
        <f>IF(AND($D90&lt;=DATE(2026,7,21),$E90&gt;=DATE(2026,7,15)),1,"")</f>
        <v/>
      </c>
      <c r="AH90">
        <f>IF(AND($D90&lt;=DATE(2026,7,31),$E90&gt;=DATE(2026,7,22)),1,"")</f>
        <v/>
      </c>
      <c r="AI90">
        <f>IF(AND($D90&lt;=DATE(2026,8,7),$E90&gt;=DATE(2026,8,1)),1,"")</f>
        <v/>
      </c>
      <c r="AJ90">
        <f>IF(AND($D90&lt;=DATE(2026,8,14),$E90&gt;=DATE(2026,8,8)),1,"")</f>
        <v/>
      </c>
      <c r="AK90">
        <f>IF(AND($D90&lt;=DATE(2026,8,21),$E90&gt;=DATE(2026,8,15)),1,"")</f>
        <v/>
      </c>
      <c r="AL90">
        <f>IF(AND($D90&lt;=DATE(2026,8,31),$E90&gt;=DATE(2026,8,22)),1,"")</f>
        <v/>
      </c>
      <c r="AM90">
        <f>IF(AND($D90&lt;=DATE(2026,9,7),$E90&gt;=DATE(2026,9,1)),1,"")</f>
        <v/>
      </c>
      <c r="AN90">
        <f>IF(AND($D90&lt;=DATE(2026,9,14),$E90&gt;=DATE(2026,9,8)),1,"")</f>
        <v/>
      </c>
      <c r="AO90">
        <f>IF(AND($D90&lt;=DATE(2026,9,21),$E90&gt;=DATE(2026,9,15)),1,"")</f>
        <v/>
      </c>
      <c r="AP90">
        <f>IF(AND($D90&lt;=DATE(2026,9,30),$E90&gt;=DATE(2026,9,22)),1,"")</f>
        <v/>
      </c>
      <c r="AQ90">
        <f>IF(AND($D90&lt;=DATE(2026,10,7),$E90&gt;=DATE(2026,10,1)),1,"")</f>
        <v/>
      </c>
      <c r="AR90">
        <f>IF(AND($D90&lt;=DATE(2026,10,14),$E90&gt;=DATE(2026,10,8)),1,"")</f>
        <v/>
      </c>
      <c r="AS90">
        <f>IF(AND($D90&lt;=DATE(2026,10,21),$E90&gt;=DATE(2026,10,15)),1,"")</f>
        <v/>
      </c>
      <c r="AT90">
        <f>IF(AND($D90&lt;=DATE(2026,10,31),$E90&gt;=DATE(2026,10,22)),1,"")</f>
        <v/>
      </c>
      <c r="AU90">
        <f>IF(AND($D90&lt;=DATE(2026,11,7),$E90&gt;=DATE(2026,11,1)),1,"")</f>
        <v/>
      </c>
      <c r="AV90">
        <f>IF(AND($D90&lt;=DATE(2026,11,14),$E90&gt;=DATE(2026,11,8)),1,"")</f>
        <v/>
      </c>
      <c r="AW90">
        <f>IF(AND($D90&lt;=DATE(2026,11,21),$E90&gt;=DATE(2026,11,15)),1,"")</f>
        <v/>
      </c>
      <c r="AX90">
        <f>IF(AND($D90&lt;=DATE(2026,11,30),$E90&gt;=DATE(2026,11,22)),1,"")</f>
        <v/>
      </c>
      <c r="AY90">
        <f>IF(AND($D90&lt;=DATE(2026,12,7),$E90&gt;=DATE(2026,12,1)),1,"")</f>
        <v/>
      </c>
      <c r="AZ90">
        <f>IF(AND($D90&lt;=DATE(2026,12,14),$E90&gt;=DATE(2026,12,8)),1,"")</f>
        <v/>
      </c>
      <c r="BA90">
        <f>IF(AND($D90&lt;=DATE(2026,12,21),$E90&gt;=DATE(2026,12,15)),1,"")</f>
        <v/>
      </c>
      <c r="BB90">
        <f>IF(AND($D90&lt;=DATE(2026,12,31),$E90&gt;=DATE(2026,12,22)),1,"")</f>
        <v/>
      </c>
    </row>
    <row r="91" ht="15" customHeight="1"/>
  </sheetData>
  <mergeCells count="18">
    <mergeCell ref="R3:U3"/>
    <mergeCell ref="V3:Y3"/>
    <mergeCell ref="Z3:AC3"/>
    <mergeCell ref="C3:C4"/>
    <mergeCell ref="B3:B4"/>
    <mergeCell ref="A3:A4"/>
    <mergeCell ref="E3:E4"/>
    <mergeCell ref="F3:I3"/>
    <mergeCell ref="J3:M3"/>
    <mergeCell ref="N3:Q3"/>
    <mergeCell ref="D3:D4"/>
    <mergeCell ref="AD3:AG3"/>
    <mergeCell ref="AH3:AK3"/>
    <mergeCell ref="AL3:AO3"/>
    <mergeCell ref="AP3:AS3"/>
    <mergeCell ref="A1:BA1"/>
    <mergeCell ref="AX3:BA3"/>
    <mergeCell ref="AT3:AW3"/>
  </mergeCells>
  <conditionalFormatting sqref="B5:B12">
    <cfRule type="containsText" priority="52" operator="between" dxfId="0" text="Completed">
      <formula>NOT(ISERROR(SEARCH("Completed",B5)))</formula>
    </cfRule>
    <cfRule type="containsText" priority="53" operator="between" dxfId="1" text="In Progress">
      <formula>NOT(ISERROR(SEARCH("In Progress",B5)))</formula>
    </cfRule>
    <cfRule type="containsText" priority="54" operator="between" dxfId="2" text="Pending">
      <formula>NOT(ISERROR(SEARCH("Pending",B5)))</formula>
    </cfRule>
    <cfRule type="containsText" priority="55" operator="between" dxfId="3" text="For Evaluation">
      <formula>NOT(ISERROR(SEARCH("For Evaluation",B5)))</formula>
    </cfRule>
  </conditionalFormatting>
  <conditionalFormatting sqref="B5:B13">
    <cfRule type="containsText" priority="72" operator="between" dxfId="0" text="Completed">
      <formula>NOT(ISERROR(SEARCH("Completed",B5)))</formula>
    </cfRule>
    <cfRule type="containsText" priority="73" operator="between" dxfId="1" text="In Progress">
      <formula>NOT(ISERROR(SEARCH("In Progress",B5)))</formula>
    </cfRule>
    <cfRule type="containsText" priority="74" operator="between" dxfId="2" text="Pending">
      <formula>NOT(ISERROR(SEARCH("Pending",B5)))</formula>
    </cfRule>
    <cfRule type="containsText" priority="75" operator="between" dxfId="3" text="For Evaluation">
      <formula>NOT(ISERROR(SEARCH("For Evaluation",B5)))</formula>
    </cfRule>
  </conditionalFormatting>
  <conditionalFormatting sqref="C5:C91">
    <cfRule type="containsText" priority="2" operator="between" dxfId="8" text="Completed">
      <formula>NOT(ISERROR(SEARCH("Completed",C5)))</formula>
    </cfRule>
    <cfRule type="containsText" priority="3" operator="between" dxfId="9" text="In Progress">
      <formula>NOT(ISERROR(SEARCH("In Progress",C5)))</formula>
    </cfRule>
    <cfRule type="containsText" priority="4" operator="between" dxfId="10" text="Pending">
      <formula>NOT(ISERROR(SEARCH("Pending",C5)))</formula>
    </cfRule>
    <cfRule type="containsText" priority="5" operator="between" dxfId="11" text="For Evaluation">
      <formula>NOT(ISERROR(SEARCH("For Evaluation",C5)))</formula>
    </cfRule>
  </conditionalFormatting>
  <conditionalFormatting sqref="C5:C13">
    <cfRule type="containsText" priority="42" operator="between" dxfId="0" text="Completed">
      <formula>NOT(ISERROR(SEARCH("Completed",C5)))</formula>
    </cfRule>
    <cfRule type="containsText" priority="43" operator="between" dxfId="1" text="In Progress">
      <formula>NOT(ISERROR(SEARCH("In Progress",C5)))</formula>
    </cfRule>
    <cfRule type="containsText" priority="44" operator="between" dxfId="2" text="Pending">
      <formula>NOT(ISERROR(SEARCH("Pending",C5)))</formula>
    </cfRule>
    <cfRule type="containsText" priority="45" operator="between" dxfId="3" text="For Evaluation">
      <formula>NOT(ISERROR(SEARCH("For Evaluation",C5)))</formula>
    </cfRule>
  </conditionalFormatting>
  <conditionalFormatting sqref="F5:BA12">
    <cfRule type="cellIs" priority="51" operator="equal" dxfId="12">
      <formula>1</formula>
    </cfRule>
  </conditionalFormatting>
  <conditionalFormatting sqref="F5:BA13">
    <cfRule type="cellIs" priority="71" operator="equal" dxfId="12">
      <formula>1</formula>
    </cfRule>
  </conditionalFormatting>
  <conditionalFormatting sqref="G5:BB91">
    <cfRule type="cellIs" priority="1" operator="equal" dxfId="14">
      <formula>1</formula>
    </cfRule>
  </conditionalFormatting>
  <conditionalFormatting sqref="G5:BB13">
    <cfRule type="cellIs" priority="41" operator="equal" dxfId="12">
      <formula>1</formula>
    </cfRule>
  </conditionalFormatting>
  <conditionalFormatting sqref="F5:BA14">
    <cfRule type="cellIs" priority="76" operator="equal" dxfId="32">
      <formula>1</formula>
    </cfRule>
  </conditionalFormatting>
  <conditionalFormatting sqref="B5:B14">
    <cfRule type="containsText" priority="77" operator="containsText" dxfId="33" text="Completed"/>
    <cfRule type="containsText" priority="78" operator="containsText" dxfId="34" text="In Progress"/>
    <cfRule type="containsText" priority="79" operator="containsText" dxfId="35" text="Pending"/>
    <cfRule type="containsText" priority="80" operator="containsText" dxfId="36" text="For Evaluation"/>
  </conditionalFormatting>
  <dataValidations count="5">
    <dataValidation sqref="B5:B12" showDropDown="0" showInputMessage="0" showErrorMessage="0" allowBlank="0" type="list">
      <formula1>Lists!$A$2:$A$5</formula1>
    </dataValidation>
    <dataValidation sqref="B13:B90" showDropDown="0" showInputMessage="0" showErrorMessage="0" allowBlank="0"/>
    <dataValidation sqref="C5:C91" showDropDown="0" showInputMessage="0" showErrorMessage="0" allowBlank="0" type="list">
      <formula1>"Completed,In Progress,Pending,For Evaluation"</formula1>
    </dataValidation>
    <dataValidation sqref="B15:B90" showDropDown="1" showInputMessage="0" showErrorMessage="0" allowBlank="0"/>
    <dataValidation sqref="B5:B14" showDropDown="0" showInputMessage="0" showErrorMessage="0" allowBlank="0" type="list">
      <formula1>Lists!$A$2:$A$5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E9F9A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ColWidth="9" defaultRowHeight="14.25"/>
  <cols>
    <col width="31" customWidth="1" min="1" max="1"/>
    <col width="15" customWidth="1" min="2" max="3"/>
    <col width="20" customWidth="1" min="4" max="4"/>
    <col width="34" customWidth="1" min="5" max="5"/>
    <col width="38" customWidth="1" min="6" max="6"/>
  </cols>
  <sheetData>
    <row r="1" ht="20.25" customHeight="1">
      <c r="A1" s="3" t="inlineStr">
        <is>
          <t>CRAYCARE MILESTONES &amp; STATUS</t>
        </is>
      </c>
    </row>
    <row r="3">
      <c r="A3" s="4" t="inlineStr">
        <is>
          <t>Milestone</t>
        </is>
      </c>
      <c r="B3" s="4" t="inlineStr">
        <is>
          <t>Target Date</t>
        </is>
      </c>
      <c r="C3" s="4" t="inlineStr">
        <is>
          <t>Status</t>
        </is>
      </c>
      <c r="D3" s="4" t="inlineStr">
        <is>
          <t>Related Phase</t>
        </is>
      </c>
      <c r="E3" s="4" t="inlineStr">
        <is>
          <t>Expected Output</t>
        </is>
      </c>
      <c r="F3" s="4" t="inlineStr">
        <is>
          <t>Remarks</t>
        </is>
      </c>
    </row>
    <row r="4" ht="33.95000076293945" customHeight="1">
      <c r="A4" s="5" t="inlineStr">
        <is>
          <t>Official title approval</t>
        </is>
      </c>
      <c r="B4" s="50" t="n">
        <v>46142</v>
      </c>
      <c r="C4" s="5" t="inlineStr">
        <is>
          <t>Completed</t>
        </is>
      </c>
      <c r="D4" s="5" t="inlineStr">
        <is>
          <t>Proposal</t>
        </is>
      </c>
      <c r="E4" s="5" t="inlineStr">
        <is>
          <t>Approved CrayCare title</t>
        </is>
      </c>
      <c r="F4" s="5" t="inlineStr">
        <is>
          <t>Foundation for Chapters 1-3</t>
        </is>
      </c>
    </row>
    <row r="5" ht="33.95000076293945" customHeight="1">
      <c r="A5" s="7" t="inlineStr">
        <is>
          <t>Submission of Chapters 1-3</t>
        </is>
      </c>
      <c r="B5" s="51" t="n">
        <v>46173</v>
      </c>
      <c r="C5" s="7" t="inlineStr">
        <is>
          <t>Completed</t>
        </is>
      </c>
      <c r="D5" s="7" t="inlineStr">
        <is>
          <t>Documentation</t>
        </is>
      </c>
      <c r="E5" s="7" t="inlineStr">
        <is>
          <t>Complete proposal manuscript</t>
        </is>
      </c>
      <c r="F5" s="7" t="inlineStr">
        <is>
          <t>For adviser/panel review</t>
        </is>
      </c>
    </row>
    <row r="6" ht="33.95000076293945" customHeight="1">
      <c r="A6" s="7" t="inlineStr">
        <is>
          <t>Working proposal prototype</t>
        </is>
      </c>
      <c r="B6" s="51" t="n">
        <v>46215</v>
      </c>
      <c r="C6" s="7" t="inlineStr">
        <is>
          <t>Completed</t>
        </is>
      </c>
      <c r="D6" s="7" t="inlineStr">
        <is>
          <t>Prototype</t>
        </is>
      </c>
      <c r="E6" s="7" t="inlineStr">
        <is>
          <t>Hardware and mobile demo</t>
        </is>
      </c>
      <c r="F6" s="7" t="inlineStr">
        <is>
          <t>Ready for proposal defense</t>
        </is>
      </c>
    </row>
    <row r="7" ht="33.95000076293945" customHeight="1">
      <c r="A7" s="7" t="inlineStr">
        <is>
          <t>Final proposal defense</t>
        </is>
      </c>
      <c r="B7" s="51" t="n">
        <v>46220</v>
      </c>
      <c r="C7" s="7" t="inlineStr">
        <is>
          <t>Completed</t>
        </is>
      </c>
      <c r="D7" s="7" t="inlineStr">
        <is>
          <t>Defense</t>
        </is>
      </c>
      <c r="E7" s="7" t="inlineStr">
        <is>
          <t>Panel evaluation and corrections</t>
        </is>
      </c>
      <c r="F7" s="7" t="inlineStr">
        <is>
          <t>Corrections tracked in plan</t>
        </is>
      </c>
    </row>
    <row r="8" ht="33.95000076293945" customHeight="1">
      <c r="A8" s="7" t="inlineStr">
        <is>
          <t>Final hardware calibration and tank integration</t>
        </is>
      </c>
      <c r="B8" s="51" t="n">
        <v>46295</v>
      </c>
      <c r="C8" s="7" t="inlineStr">
        <is>
          <t>In Progress</t>
        </is>
      </c>
      <c r="D8" s="7" t="inlineStr">
        <is>
          <t>Implementation</t>
        </is>
      </c>
      <c r="E8" s="7" t="inlineStr">
        <is>
          <t>Calibrated and fully integrated tank hardware</t>
        </is>
      </c>
      <c r="F8" s="7" t="inlineStr">
        <is>
          <t>Final build, wiring, casing, and validation continue in September</t>
        </is>
      </c>
    </row>
    <row r="9" ht="33.95000076293945" customHeight="1">
      <c r="A9" s="7" t="inlineStr">
        <is>
          <t>Deployment-ready CrayCare system</t>
        </is>
      </c>
      <c r="B9" s="51" t="n">
        <v>46295</v>
      </c>
      <c r="C9" s="7" t="inlineStr">
        <is>
          <t>In Progress</t>
        </is>
      </c>
      <c r="D9" s="7" t="inlineStr">
        <is>
          <t>Software</t>
        </is>
      </c>
      <c r="E9" s="7" t="inlineStr">
        <is>
          <t>Production-ready app, cloud, feeder, actuators, and alerts</t>
        </is>
      </c>
      <c r="F9" s="7" t="inlineStr">
        <is>
          <t>Required before actual tank deployment</t>
        </is>
      </c>
    </row>
    <row r="10" ht="33.95000076293945" customHeight="1">
      <c r="A10" s="7" t="inlineStr">
        <is>
          <t>ML supporting feature validation</t>
        </is>
      </c>
      <c r="B10" s="51" t="n">
        <v>46302</v>
      </c>
      <c r="C10" s="7" t="inlineStr">
        <is>
          <t>Pending</t>
        </is>
      </c>
      <c r="D10" s="7" t="inlineStr">
        <is>
          <t>Machine Learning</t>
        </is>
      </c>
      <c r="E10" s="7" t="inlineStr">
        <is>
          <t>Validated anomaly-detection results</t>
        </is>
      </c>
      <c r="F10" s="7" t="inlineStr">
        <is>
          <t>Advisory feature; not direct actuator control</t>
        </is>
      </c>
    </row>
    <row r="11" ht="33.95000076293945" customHeight="1">
      <c r="A11" s="7" t="inlineStr">
        <is>
          <t>CrayCare deployed to actual tank</t>
        </is>
      </c>
      <c r="B11" s="51" t="n">
        <v>46295</v>
      </c>
      <c r="C11" s="7" t="inlineStr">
        <is>
          <t>Pending</t>
        </is>
      </c>
      <c r="D11" s="7" t="inlineStr">
        <is>
          <t>Deployment</t>
        </is>
      </c>
      <c r="E11" s="7" t="inlineStr">
        <is>
          <t>Operational system installed in the actual tank</t>
        </is>
      </c>
      <c r="F11" s="7" t="inlineStr">
        <is>
          <t>Live implementation begins in October</t>
        </is>
      </c>
    </row>
    <row r="12" ht="33.95000076293945" customHeight="1">
      <c r="A12" s="7" t="inlineStr">
        <is>
          <t>Integrated field-tested system</t>
        </is>
      </c>
      <c r="B12" s="51" t="n">
        <v>46356</v>
      </c>
      <c r="C12" s="7" t="inlineStr">
        <is>
          <t>Pending</t>
        </is>
      </c>
      <c r="D12" s="7" t="inlineStr">
        <is>
          <t>Testing</t>
        </is>
      </c>
      <c r="E12" s="7" t="inlineStr">
        <is>
          <t>Live-operation, field-test, and usability evidence</t>
        </is>
      </c>
      <c r="F12" s="7" t="inlineStr">
        <is>
          <t>Two-month live operation (October-November) plus field-test and usability evidence</t>
        </is>
      </c>
    </row>
    <row r="13" ht="33.95000076293945" customHeight="1">
      <c r="A13" s="7" t="inlineStr">
        <is>
          <t>Chapter 4 completion</t>
        </is>
      </c>
      <c r="B13" s="51" t="n">
        <v>46363</v>
      </c>
      <c r="C13" s="7" t="inlineStr">
        <is>
          <t>Pending</t>
        </is>
      </c>
      <c r="D13" s="7" t="inlineStr">
        <is>
          <t>Documentation</t>
        </is>
      </c>
      <c r="E13" s="7" t="inlineStr">
        <is>
          <t>Results and discussion</t>
        </is>
      </c>
      <c r="F13" s="7" t="inlineStr">
        <is>
          <t>Based on live system and evaluation data</t>
        </is>
      </c>
    </row>
    <row r="14" ht="33.95000076293945" customHeight="1">
      <c r="A14" s="7" t="inlineStr">
        <is>
          <t>Chapter 5 and full manuscript</t>
        </is>
      </c>
      <c r="B14" s="51" t="n">
        <v>46369</v>
      </c>
      <c r="C14" s="7" t="inlineStr">
        <is>
          <t>Pending</t>
        </is>
      </c>
      <c r="D14" s="7" t="inlineStr">
        <is>
          <t>Documentation</t>
        </is>
      </c>
      <c r="E14" s="7" t="inlineStr">
        <is>
          <t>Complete Chapters 1-5</t>
        </is>
      </c>
      <c r="F14" s="7" t="inlineStr">
        <is>
          <t>Ready for final review</t>
        </is>
      </c>
    </row>
    <row r="15" ht="33.95000076293945" customHeight="1">
      <c r="A15" s="7" t="inlineStr">
        <is>
          <t>Final oral defense</t>
        </is>
      </c>
      <c r="B15" s="51" t="n">
        <v>46376</v>
      </c>
      <c r="C15" s="7" t="inlineStr">
        <is>
          <t>Pending</t>
        </is>
      </c>
      <c r="D15" s="7" t="inlineStr">
        <is>
          <t>Defense</t>
        </is>
      </c>
      <c r="E15" s="7" t="inlineStr">
        <is>
          <t>Final presentation and panel feedback</t>
        </is>
      </c>
      <c r="F15" s="7" t="inlineStr">
        <is>
          <t>Prepare system demonstration</t>
        </is>
      </c>
    </row>
    <row r="16" ht="33.95000076293945" customHeight="1">
      <c r="A16" s="9" t="inlineStr">
        <is>
          <t>Final submission and closure</t>
        </is>
      </c>
      <c r="B16" s="52" t="n">
        <v>46387</v>
      </c>
      <c r="C16" s="9" t="inlineStr">
        <is>
          <t>Pending</t>
        </is>
      </c>
      <c r="D16" s="9" t="inlineStr">
        <is>
          <t>Closure</t>
        </is>
      </c>
      <c r="E16" s="9" t="inlineStr">
        <is>
          <t>Approved bound manuscript and archive</t>
        </is>
      </c>
      <c r="F16" s="9" t="inlineStr">
        <is>
          <t>Close project records</t>
        </is>
      </c>
    </row>
  </sheetData>
  <mergeCells count="1">
    <mergeCell ref="A1:F1"/>
  </mergeCells>
  <conditionalFormatting sqref="C4:C16">
    <cfRule type="containsText" priority="1" operator="between" dxfId="8" text="Completed">
      <formula>NOT(ISERROR(SEARCH("Completed",C4)))</formula>
    </cfRule>
    <cfRule type="containsText" priority="2" operator="between" dxfId="9" text="In Progress">
      <formula>NOT(ISERROR(SEARCH("In Progress",C4)))</formula>
    </cfRule>
    <cfRule type="containsText" priority="3" operator="between" dxfId="10" text="Pending">
      <formula>NOT(ISERROR(SEARCH("Pending",C4)))</formula>
    </cfRule>
  </conditionalFormatting>
  <dataValidations count="1">
    <dataValidation sqref="C4:C16" showDropDown="0" showInputMessage="0" showErrorMessage="0" allowBlank="0" type="list">
      <formula1>"Completed,In Progress,Pending,For Evaluation"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667085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ColWidth="9" defaultRowHeight="14.25"/>
  <cols>
    <col width="20" customWidth="1" min="1" max="1"/>
    <col width="45" customWidth="1" min="2" max="2"/>
  </cols>
  <sheetData>
    <row r="1">
      <c r="A1" s="1" t="inlineStr">
        <is>
          <t>Status</t>
        </is>
      </c>
      <c r="B1" s="1" t="inlineStr">
        <is>
          <t>Phase</t>
        </is>
      </c>
    </row>
    <row r="2">
      <c r="A2" s="2" t="inlineStr">
        <is>
          <t>Completed</t>
        </is>
      </c>
      <c r="B2" s="2" t="inlineStr">
        <is>
          <t>Phase 1: Preliminary Investigation and Requirements Gathering</t>
        </is>
      </c>
    </row>
    <row r="3">
      <c r="A3" s="2" t="inlineStr">
        <is>
          <t>In Progress</t>
        </is>
      </c>
      <c r="B3" s="2" t="inlineStr">
        <is>
          <t>Phase 2: Chapters 1-3 and Prototype Development and Defense</t>
        </is>
      </c>
    </row>
    <row r="4">
      <c r="A4" s="2" t="inlineStr">
        <is>
          <t>Pending</t>
        </is>
      </c>
      <c r="B4" s="2" t="inlineStr">
        <is>
          <t>Phase 3: Construction and Setup of Manual and IoT-Based Tanks</t>
        </is>
      </c>
    </row>
    <row r="5">
      <c r="A5" s="2" t="inlineStr">
        <is>
          <t>For Evaluation</t>
        </is>
      </c>
      <c r="B5" s="2" t="inlineStr">
        <is>
          <t>Phase 4: Hardware Assembly, Sensor Calibration, and IoT Integration</t>
        </is>
      </c>
    </row>
    <row r="6">
      <c r="A6" s="2" t="n"/>
      <c r="B6" s="2" t="inlineStr">
        <is>
          <t>Phase 5: Mobile Application and Cloud Backend Development</t>
        </is>
      </c>
    </row>
    <row r="7">
      <c r="A7" s="2" t="n"/>
      <c r="B7" s="2" t="inlineStr">
        <is>
          <t>Phase 6: Machine Learning Anomaly Detection Development and Testing</t>
        </is>
      </c>
    </row>
    <row r="8">
      <c r="A8" s="2" t="n"/>
      <c r="B8" s="2" t="inlineStr">
        <is>
          <t>Phase 7: Actual Tank System Installation and Initial Testing</t>
        </is>
      </c>
    </row>
    <row r="9">
      <c r="A9" s="2" t="n"/>
      <c r="B9" s="2" t="inlineStr">
        <is>
          <t>Phase 8: Sensor Data Collection and System Evaluation</t>
        </is>
      </c>
    </row>
    <row r="10">
      <c r="A10" s="2" t="n"/>
      <c r="B10" s="2" t="inlineStr">
        <is>
          <t>Phase 9: Data Analysis and Chapter 4 Development</t>
        </is>
      </c>
    </row>
    <row r="11">
      <c r="B11" t="inlineStr">
        <is>
          <t>Phase 10: Chapter 5 and Final Deliverables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2026-09-12T13:27:19Z</dcterms:created>
  <dcterms:modified xmlns:dcterms="http://purl.org/dc/terms/" xmlns:xsi="http://www.w3.org/2001/XMLSchema-instance" xsi:type="dcterms:W3CDTF">2026-09-12T13:27:20Z</dcterms:modified>
</cp:coreProperties>
</file>